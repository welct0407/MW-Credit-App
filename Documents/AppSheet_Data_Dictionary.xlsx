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4a53cef42a4e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b2c0df50b144b4e"/>
    <x:sheet xmlns:r="http://schemas.openxmlformats.org/officeDocument/2006/relationships" name="Tables" sheetId="2" r:id="R46311ca96db24160"/>
    <x:sheet xmlns:r="http://schemas.openxmlformats.org/officeDocument/2006/relationships" name="Columns" sheetId="3" r:id="Rfa7e44234bca496c"/>
    <x:sheet xmlns:r="http://schemas.openxmlformats.org/officeDocument/2006/relationships" name="Relationships" sheetId="4" r:id="R95d0a43b75f04986"/>
    <x:sheet xmlns:r="http://schemas.openxmlformats.org/officeDocument/2006/relationships" name="Slices" sheetId="5" r:id="Re157bb1229494759"/>
    <x:sheet xmlns:r="http://schemas.openxmlformats.org/officeDocument/2006/relationships" name="Slice Columns" sheetId="6" r:id="R11827c90661d44cf"/>
    <x:sheet xmlns:r="http://schemas.openxmlformats.org/officeDocument/2006/relationships" name="App Variances" sheetId="7" r:id="Ree5480ed78564379"/>
    <x:sheet xmlns:r="http://schemas.openxmlformats.org/officeDocument/2006/relationships" name="Change Log" sheetId="8" r:id="R80446185eceb41e3"/>
    <x:sheet xmlns:r="http://schemas.openxmlformats.org/officeDocument/2006/relationships" name="Payments Clone" sheetId="9" r:id="R3c5fd6e88fe449a1"/>
    <x:sheet xmlns:r="http://schemas.openxmlformats.org/officeDocument/2006/relationships" name="Payments Clone Slices" sheetId="10" r:id="R1e8ba34253d344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1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9b92ddce5147ca" /><Relationship Type="http://schemas.openxmlformats.org/officeDocument/2006/relationships/theme" Target="/xl/theme/theme1.xml" Id="Rd9045e37c96f4e43" /><Relationship Type="http://schemas.openxmlformats.org/officeDocument/2006/relationships/sharedStrings" Target="/xl/sharedStrings.xml" Id="Rf98deb53af594e15" /><Relationship Type="http://schemas.openxmlformats.org/officeDocument/2006/relationships/worksheet" Target="/xl/worksheets/sheet1.xml" Id="R8b2c0df50b144b4e" /><Relationship Type="http://schemas.openxmlformats.org/officeDocument/2006/relationships/worksheet" Target="/xl/worksheets/sheet2.xml" Id="R46311ca96db24160" /><Relationship Type="http://schemas.openxmlformats.org/officeDocument/2006/relationships/worksheet" Target="/xl/worksheets/sheet3.xml" Id="Rfa7e44234bca496c" /><Relationship Type="http://schemas.openxmlformats.org/officeDocument/2006/relationships/worksheet" Target="/xl/worksheets/sheet4.xml" Id="R95d0a43b75f04986" /><Relationship Type="http://schemas.openxmlformats.org/officeDocument/2006/relationships/worksheet" Target="/xl/worksheets/sheet5.xml" Id="Re157bb1229494759" /><Relationship Type="http://schemas.openxmlformats.org/officeDocument/2006/relationships/worksheet" Target="/xl/worksheets/sheet6.xml" Id="R11827c90661d44cf" /><Relationship Type="http://schemas.openxmlformats.org/officeDocument/2006/relationships/worksheet" Target="/xl/worksheets/sheet7.xml" Id="Ree5480ed78564379" /><Relationship Type="http://schemas.openxmlformats.org/officeDocument/2006/relationships/worksheet" Target="/xl/worksheets/sheet8.xml" Id="R80446185eceb41e3" /><Relationship Type="http://schemas.openxmlformats.org/officeDocument/2006/relationships/worksheet" Target="/xl/worksheets/sheet9.xml" Id="R3c5fd6e88fe449a1" /><Relationship Type="http://schemas.openxmlformats.org/officeDocument/2006/relationships/worksheet" Target="/xl/worksheets/sheet10.xml" Id="R1e8ba34253d34452" /></Relationships>
</file>

<file path=xl/tables/table1.xml><?xml version="1.0" encoding="utf-8"?>
<x:table xmlns:x="http://schemas.openxmlformats.org/spreadsheetml/2006/main" id="1" name="DataModelTables" displayName="DataModelTables" ref="A4:G17" headerRowCount="1" totalsRowCount="0" totalsRowShown="0">
  <x:autoFilter ref="A4:G17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taModelColumns" displayName="DataModelColumns" ref="A4:H369" headerRowCount="1" totalsRowCount="0" totalsRowShown="0">
  <x:autoFilter ref="A4:H369"/>
  <x:tableColumns count="8">
    <x:tableColumn id="1" name="Table"/>
    <x:tableColumn id="2" name="Column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ModelRelationships" displayName="DataModelRelationships" ref="A4:E18" headerRowCount="1" totalsRowCount="0" totalsRowShown="0">
  <x:autoFilter ref="A4:E18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taModelSlices" displayName="DataModelSlices" ref="A4:H17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ataModelSliceColumns" displayName="DataModelSliceColumns" ref="A4:D371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ataModelAppVariances" displayName="DataModelAppVariances" ref="A4:F203" headerRowCount="1" totalsRowCount="0" totalsRowShown="0">
  <x:autoFilter ref="A4:F203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70afbec66b841c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09e64d2cbac41c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f9d80e7ef94427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0c610d8cce24a4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b19210182684cb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6c68eb43fe1490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f60023967db45d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369b1478b854a5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aef64db8f7c8477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inlineStr">
        <x:is>
          <x:t xml:space="preserve">Reconciliation status</x:t>
        </x:is>
      </x:c>
      <x:c r="B5" s="85" t="str">
        <x:v>OLAP schema warnings repaired at v1.100016 on 7 September 2026; rollback v1.100012. Added read-only payment target tables and two repayment Refs, preserving all existing column properties. Twenty shared numeric KPI formulas and displayed values match after refreshing both apps on the same date.</x:v>
      </x:c>
      <x:c r="C5" s="73"/>
      <x:c r="D5" s="73"/>
      <x:c r="E5" s="73"/>
      <x:c r="F5" s="73"/>
    </x:row>
    <x:row r="6" ht="80" customHeight="1">
      <x:c r="A6" s="84" t="inlineStr">
        <x:is>
          <x:t xml:space="preserve">Live baselines</x:t>
        </x:is>
      </x:c>
      <x:c r="B6" s="85" t="str">
        <x:v>OLAP v1.100016; OLTP v3.000003 observed during this read-only comparison (previous rollout completed v3.000002). No OLTP configuration changed by this task. Existing full backup pair retained, no additional app/database copy.</x:v>
      </x:c>
      <x:c r="C6" s="73"/>
      <x:c r="D6" s="73"/>
      <x:c r="E6" s="73"/>
      <x:c r="F6" s="73"/>
    </x:row>
    <x:row r="7" ht="15" customHeight="1">
      <x:c r="A7" s="12" t="inlineStr">
        <x:is>
          <x:t xml:space="preserve">Reconciliation date</x:t>
        </x:is>
      </x:c>
      <x:c r="B7" s="14" t="str">
        <x:v>2026-09-04 (Asia/Singapore)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13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14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66" customHeight="1">
      <x:c r="A35" s="86" t="str">
        <x:v>Reporting boundary</x:v>
      </x:c>
      <x:c r="B35" s="73" t="str">
        <x:v>OLAP payment trace schema reconciled at v1.100016; new payment tables READ_ONLY. Existing live KPIs match OLTP at displayed precision. Collection and historical snapshot definitions have distinct date/partial-payment bases documented in the reconciliation log.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12 native tables; OLTP loads8, OLAP loads13 business tables including external Calendar. OLAP live totals verified; unrelated older detailed inventory remains dated. System process tables excluded.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str">
        <x:v>7</x:v>
      </x:c>
      <x:c r="E5" s="56" t="n">
        <x:v>26</x:v>
      </x:c>
      <x:c r="F5" s="56" t="n">
        <x:v>65</x:v>
      </x:c>
      <x:c r="G5" s="58" t="str">
        <x:v>Borrower master records and indicators; includes the OLAP-only projected-monthly-profit contribution and borrower value/stability matrix VCs plus the OLTP-only active principal-coverage VC. Hidden Flag is loaded in both apps but filters only the OLTP primary borrower list.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20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str">
        <x:v>5</x:v>
      </x:c>
      <x:c r="E12" s="57" t="str">
        <x:v>0</x:v>
      </x:c>
      <x:c r="F12" s="57" t="str">
        <x:v>12</x:v>
      </x:c>
      <x:c r="G12" s="59" t="str">
        <x:v>Partner master records used for capital participation and settlement reporting.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e70afbec66b841c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OLAP v1.100016, 7 September 2026: 36 payment-trace definitions now loaded. Existing OLTP definitions and unrelated OLAP definitions retained. Older unrelated OLAP inventory remains dated; this is a scoped schema/KPI reconciliation.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15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59" t="str">
        <x:v>Stored source column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OLTP + OLAP</x:v>
      </x:c>
      <x:c r="F8" s="57" t="str">
        <x:v>PII</x:v>
      </x:c>
      <x:c r="G8" s="59" t="str">
        <x:v>Stores the authoritative source value for Telephone.</x:v>
      </x:c>
      <x:c r="H8" s="59" t="str">
        <x:v>Stored source column</x:v>
      </x:c>
    </x:row>
    <x:row r="9" ht="15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LongText</x:v>
      </x:c>
      <x:c r="E9" s="57" t="str">
        <x:v>OLTP + OLAP</x:v>
      </x:c>
      <x:c r="F9" s="57" t="str">
        <x:v>-</x:v>
      </x:c>
      <x:c r="G9" s="59" t="str">
        <x:v>Stores the authoritative source value for Description.</x:v>
      </x:c>
      <x:c r="H9" s="59" t="str">
        <x:v>Stored source column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5" customHeight="1">
      <x:c r="A37" s="57" t="str">
        <x:v>Borrowers</x:v>
      </x:c>
      <x:c r="B37" s="57" t="n">
        <x:v>33</x:v>
      </x:c>
      <x:c r="C37" s="59" t="str">
        <x:v>Todays Collection Charges</x:v>
      </x:c>
      <x:c r="D37" s="59" t="str">
        <x:v>VC / List</x:v>
      </x:c>
      <x:c r="E37" s="57" t="str">
        <x:v>OLTP + OLAP</x:v>
      </x:c>
      <x:c r="F37" s="57" t="str">
        <x:v>-</x:v>
      </x:c>
      <x:c r="G37" s="59" t="str">
        <x:v>Derived date, time-window, age, or delinquency measure.</x:v>
      </x:c>
      <x:c r="H37" s="59" t="str">
        <x:v>SELECT( Charges[Row ID], AND( [Ref Loans].[Ref Borrowers] = [_THISROW].[Row ID], OR( AND( [Payment Status] &lt;&gt; "ชำระแล้ว", [Charge Date] &lt;= TODAY() ), AND( [Payment Status] = "ชำระแล้ว", [Payment Date] = TODAY() ) ) ))</x:v>
      </x:c>
    </x:row>
    <x:row r="38" ht="15" customHeight="1">
      <x:c r="A38" s="57" t="str">
        <x:v>Borrowers</x:v>
      </x:c>
      <x:c r="B38" s="57" t="n">
        <x:v>34</x:v>
      </x:c>
      <x:c r="C38" s="59" t="str">
        <x:v>Todays Amount Due</x:v>
      </x:c>
      <x:c r="D38" s="59" t="str">
        <x:v>VC / Price</x:v>
      </x:c>
      <x:c r="E38" s="57" t="str">
        <x:v>OLTP + OLAP</x:v>
      </x:c>
      <x:c r="F38" s="57" t="str">
        <x:v>-</x:v>
      </x:c>
      <x:c r="G38" s="59" t="str">
        <x:v>Derived date, time-window, age, or delinquency measure.</x:v>
      </x:c>
      <x:c r="H38" s="59" t="str">
        <x:v>SUM([Todays Collection Charges][Amount Due])</x:v>
      </x:c>
    </x:row>
    <x:row r="39" ht="15" customHeight="1">
      <x:c r="A39" s="57" t="str">
        <x:v>Borrowers</x:v>
      </x:c>
      <x:c r="B39" s="57" t="n">
        <x:v>35</x:v>
      </x:c>
      <x:c r="C39" s="59" t="str">
        <x:v>Todays Amount Collected</x:v>
      </x:c>
      <x:c r="D39" s="59" t="str">
        <x:v>VC / Price</x:v>
      </x:c>
      <x:c r="E39" s="57" t="str">
        <x:v>OLTP + OLAP</x:v>
      </x:c>
      <x:c r="F39" s="57" t="str">
        <x:v>Intentional formula variance</x:v>
      </x:c>
      <x:c r="G39" s="59" t="str">
        <x:v>OLTP uses payments dated today; OLAP retains the cumulative paid amount.</x:v>
      </x:c>
      <x:c r="H39" s="59" t="str">
        <x:v>OLTP: SUM([Todays Collection Charges][Payment Received Today]); OLAP: SUM([Todays Collection Charges][Total Paid])</x:v>
      </x:c>
    </x:row>
    <x:row r="40" ht="21.600000381469727" customHeight="1">
      <x:c r="A40" s="57" t="str">
        <x:v>Borrowers</x:v>
      </x:c>
      <x:c r="B40" s="57" t="n">
        <x:v>36</x:v>
      </x:c>
      <x:c r="C40" s="59" t="str">
        <x:v>Todays Amount Remaining</x:v>
      </x:c>
      <x:c r="D40" s="59" t="str">
        <x:v>VC / Price</x:v>
      </x:c>
      <x:c r="E40" s="57" t="str">
        <x:v>OLTP + OLAP</x:v>
      </x:c>
      <x:c r="F40" s="57" t="str">
        <x:v>-</x:v>
      </x:c>
      <x:c r="G40" s="59" t="str">
        <x:v>Derived date, time-window, age, or delinquency measure.</x:v>
      </x:c>
      <x:c r="H40" s="59" t="str">
        <x:v>SUM([Todays Collection Charges][Amount Remaining])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5" customHeight="1">
      <x:c r="A65" s="57" t="str">
        <x:v>Borrowers</x:v>
      </x:c>
      <x:c r="B65" s="57" t="n">
        <x:v>61</x:v>
      </x:c>
      <x:c r="C65" s="59" t="str">
        <x:v>Projected Monthly Profit Contribution</x:v>
      </x:c>
      <x:c r="D65" s="59" t="str">
        <x:v>VC / Price</x:v>
      </x:c>
      <x:c r="E65" s="57" t="str">
        <x:v>OLAP only</x:v>
      </x:c>
      <x:c r="F65" s="57" t="str">
        <x:v>Show; 0 decimals; bilingual display name</x:v>
      </x:c>
      <x:c r="G65" s="59" t="str">
        <x:v>Borrower-grain contribution that mirrors Statistics[Projected Monthly Profit] for pie-chart attribution across the full Borrowers population.</x:v>
      </x:c>
      <x:c r="H65" s="59" t="str">
        <x:v>SUM(SELECT(Repayments[Interest Paid], AND([Ref Loans].[Ref Borrowers] = [_THISROW].[Row ID], MONTH([Payment Date]) = MONTH(TODAY()), YEAR([Payment Date]) = YEAR(TODAY())))) + SUM(SELECT(Charges[Interest Remaining], [Ref Loans].[Ref Borrowers] = [_THISROW].[Row ID]))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21.600000381469727" customHeight="1">
      <x:c r="A71" s="57" t="str">
        <x:v>Calendar</x:v>
      </x:c>
      <x:c r="B71" s="57" t="n">
        <x:v>6</x:v>
      </x:c>
      <x:c r="C71" s="59" t="str">
        <x:v>Projected Outstanding Principal</x:v>
      </x:c>
      <x:c r="D71" s="59" t="str">
        <x:v>VC / Price</x:v>
      </x:c>
      <x:c r="E71" s="57" t="str">
        <x:v>OLAP only</x:v>
      </x:c>
      <x:c r="F71" s="57" t="str">
        <x:v>-</x:v>
      </x:c>
      <x:c r="G71" s="59" t="str">
        <x:v>Projected selected-borrower principal. Daily-installment balances start from current Outstanding Principal, subtract only contract principal after the latest posted Charge through the candidate date/Due Date, and do not go below zero.</x:v>
      </x:c>
      <x:c r="H71" s="59" t="str">
        <x:v>SUM(
  SELECT(
    Loans[Outstanding Principal],
    AND(
      [Ref Borrowers] = [_THISROW].[Assessment Borrower],
      [Loan Status] = "ยังไม่ปิดยอด",
      OR(
        [Loan Type] = "ดอกเบี้ยรายวัน",
        AND([Loan Type] = "กำหนดวันชำระ",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[Loan Type] = "ผ่อนชำระรายวัน",
          [Loan Date] &lt;= [_THISROW].[Date]
        )
      )
    )
    - SUM(
      SELECT(
        Calendar[Assessment Installment Future Principal Due],
        [Date] &lt;= [_THISROW].[Date]
      )
    )
  )
)</x:v>
      </x:c>
    </x:row>
    <x:row r="72" ht="21.600000381469727" customHeight="1">
      <x:c r="A72" s="57" t="str">
        <x:v>Calendar</x:v>
      </x:c>
      <x:c r="B72" s="57" t="n">
        <x:v>7</x:v>
      </x:c>
      <x:c r="C72" s="59" t="str">
        <x:v>Projected Interest</x:v>
      </x:c>
      <x:c r="D72" s="59" t="str">
        <x:v>VC / Price</x:v>
      </x:c>
      <x:c r="E72" s="57" t="str">
        <x:v>OLAP only</x:v>
      </x:c>
      <x:c r="F72" s="57" t="str">
        <x:v>-</x:v>
      </x:c>
      <x:c r="G72" s="59" t="str">
        <x:v>Actual selected-borrower interest received plus future daily-interest, fixed-date, and uncharged daily-installment interest. Daily-installment Transfer Fee is not projected again.</x:v>
      </x:c>
      <x:c r="H72" s="59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[Loan Type] = "ดอกเบี้ยรายวัน"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5" customHeight="1">
      <x:c r="A74" s="57" t="str">
        <x:v>Calendar</x:v>
      </x:c>
      <x:c r="B74" s="57" t="n">
        <x:v>9</x:v>
      </x:c>
      <x:c r="C74" s="59" t="str">
        <x:v>Assessment Principal Base</x:v>
      </x:c>
      <x:c r="D74" s="59" t="str">
        <x:v>VC / Price</x:v>
      </x:c>
      <x:c r="E74" s="57" t="str">
        <x:v>OLAP only</x:v>
      </x:c>
      <x:c r="F74" s="57" t="str">
        <x:v>-</x:v>
      </x:c>
      <x:c r="G74" s="59" t="str">
        <x:v>Principal base used by Minimum Required Profit; daily-installment exposure follows the declining contract balance.</x:v>
      </x:c>
      <x:c r="H74" s="59" t="str">
        <x:v>SUM(
  SELECT(
    Loans[Principal Amount],
    AND(
      [Ref Borrowers] = [_THISROW].[Assessment Borrower],
      [Loan Status] = "ยังไม่ปิดยอด",
      OR(
        [Loan Type] = "ดอกเบี้ยรายวัน",
        AND([Loan Type] = "กำหนดวันชำระ", [Due Date] &gt; [_THISROW].[Date])
      )
    )
  )
)
+ [Assessment Installment Contract Outstanding]</x:v>
      </x:c>
    </x:row>
    <x:row r="75" ht="15" customHeight="1">
      <x:c r="A75" s="57" t="str">
        <x:v>Calendar</x:v>
      </x:c>
      <x:c r="B75" s="57" t="n">
        <x:v>10</x:v>
      </x:c>
      <x:c r="C75" s="59" t="str">
        <x:v>Assessment Principal Start Weight</x:v>
      </x:c>
      <x:c r="D75" s="59" t="str">
        <x:v>VC / Decimal</x:v>
      </x:c>
      <x:c r="E75" s="57" t="str">
        <x:v>OLAP only</x:v>
      </x:c>
      <x:c r="F75" s="57" t="str">
        <x:v>-</x:v>
      </x:c>
      <x:c r="G75" s="59" t="str">
        <x:v>Principal-day start weight used by Minimum Required Profit; algebraically preserves cumulative declining daily-installment principal-days.</x:v>
      </x:c>
      <x:c r="H75" s="59" t="str">
        <x:v>SUM(
  SELECT(
    Loans[Principal Start Weight],
    AND(
      [Ref Borrowers] = [_THISROW].[Assessment Borrower],
      [Loan Status] = "ยังไม่ปิดยอด",
      OR(
        [Loan Type] = "ดอกเบี้ยรายวัน",
        AND([Loan Type] = "กำหนดวันชำระ",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5" customHeight="1">
      <x:c r="A90" s="57" t="str">
        <x:v>Calendar</x:v>
      </x:c>
      <x:c r="B90" s="57" t="n">
        <x:v>25</x:v>
      </x:c>
      <x:c r="C90" s="59" t="str">
        <x:v>Assessment Installment Contract Principal Due</x:v>
      </x:c>
      <x:c r="D90" s="59" t="str">
        <x:v>VC / Price</x:v>
      </x:c>
      <x:c r="E90" s="57" t="str">
        <x:v>OLAP only</x:v>
      </x:c>
      <x:c r="F90" s="57" t="str">
        <x:v>Hidden; whole baht</x:v>
      </x:c>
      <x:c r="G90" s="59" t="str">
        <x:v>Whole-baht scheduled principal for the candidate Calendar date; FLOOR base plus one baht on the earliest remainder days.</x:v>
      </x:c>
      <x:c r="H90" s="59" t="str">
        <x:v>SUM(
  SELECT(
    Loans[Daily Installment Base Principal],
    AND(
      [Ref Borrowers] = [_THISROW].[Assessment Borrower],
      [Loan Status] = "ยังไม่ปิดยอด",
      [Loan Type] = "ผ่อนชำระรายวัน",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</x:v>
      </x:c>
    </x:row>
    <x:row r="91" ht="15" customHeight="1">
      <x:c r="A91" s="57" t="str">
        <x:v>Calendar</x:v>
      </x:c>
      <x:c r="B91" s="57" t="n">
        <x:v>26</x:v>
      </x:c>
      <x:c r="C91" s="59" t="str">
        <x:v>Assessment Installment Future Principal Due</x:v>
      </x:c>
      <x:c r="D91" s="59" t="str">
        <x:v>VC / Price</x:v>
      </x:c>
      <x:c r="E91" s="57" t="str">
        <x:v>OLAP only</x:v>
      </x:c>
      <x:c r="F91" s="57" t="str">
        <x:v>Hidden; whole baht</x:v>
      </x:c>
      <x:c r="G91" s="59" t="str">
        <x:v>Whole-baht scheduled principal after each loan's latest posted Charge through its Due Date.</x:v>
      </x:c>
      <x:c r="H91" s="59" t="str">
        <x:v>SUM(
  SELECT(
    Loans[Daily Installment Base Principal],
    AND(
      [Ref Borrowers] = [_THISROW].[Assessment Borrower],
      [Loan Status] = "ยังไม่ปิดยอด",
      [Loan Type] = "ผ่อนชำระรายวัน",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</x:v>
      </x:c>
    </x:row>
    <x:row r="92" ht="15" customHeight="1">
      <x:c r="A92" s="57" t="str">
        <x:v>Calendar</x:v>
      </x:c>
      <x:c r="B92" s="57" t="n">
        <x:v>27</x:v>
      </x:c>
      <x:c r="C92" s="59" t="str">
        <x:v>Assessment Installment Future Interest Due</x:v>
      </x:c>
      <x:c r="D92" s="59" t="str">
        <x:v>VC / Price</x:v>
      </x:c>
      <x:c r="E92" s="57" t="str">
        <x:v>OLAP only</x:v>
      </x:c>
      <x:c r="F92" s="57" t="str">
        <x:v>Hidden; whole baht</x:v>
      </x:c>
      <x:c r="G92" s="59" t="str">
        <x:v>Scheduled daily-installment payment after the latest Charge minus future scheduled principal; Transfer Fee excluded.</x:v>
      </x:c>
      <x:c r="H92" s="59" t="str">
        <x:v>SUM(
  SELECT(
    Loans[Daily Payment Amount],
    AND(
      [Ref Borrowers] = [_THISROW].[Assessment Borrower],
      [Loan Status] = "ยังไม่ปิดยอด",
      [Loan Type] = "ผ่อนชำระรายวัน",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</x:v>
      </x:c>
    </x:row>
    <x:row r="93" ht="15" customHeight="1">
      <x:c r="A93" s="57" t="str">
        <x:v>Calendar</x:v>
      </x:c>
      <x:c r="B93" s="57" t="n">
        <x:v>28</x:v>
      </x:c>
      <x:c r="C93" s="59" t="str">
        <x:v>Assessment Installment Contract Outstanding</x:v>
      </x:c>
      <x:c r="D93" s="59" t="str">
        <x:v>VC / Price</x:v>
      </x:c>
      <x:c r="E93" s="57" t="str">
        <x:v>OLAP only</x:v>
      </x:c>
      <x:c r="F93" s="57" t="str">
        <x:v>Hidden; whole baht</x:v>
      </x:c>
      <x:c r="G93" s="59" t="str">
        <x:v>Nonnegative deterministic daily-installment contract balance after cumulative scheduled principal through the Calendar date.</x:v>
      </x:c>
      <x:c r="H93" s="59" t="str">
        <x:v>MAX(
  LIST(
    [Assessment Installment Contract Principal Due] * 0,
    SUM(
      SELECT(
        Loans[Principal Amount],
        AND(
          [Ref Borrowers] = [_THISROW].[Assessment Borrower],
          [Loan Status] = "ยังไม่ปิดยอด",
          [Loan Type] = "ผ่อนชำระรายวัน",
          [Loan Date] &lt;= [_THISROW].[Date],
          [Due Date] &gt;= [Loan Date],
          [Daily Payment Amount] &gt; 0
        )
      )
    )
    - SUM(
      SELECT(
        Calendar[Assessment Installment Contract Principal Due],
        [Date] &lt;= [_THISROW].[Date]
      )
    )
  )
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15" customHeight="1">
      <x:c r="A205" s="57" t="str">
        <x:v>Loans</x:v>
      </x:c>
      <x:c r="B205" s="57" t="n">
        <x:v>30</x:v>
      </x:c>
      <x:c r="C205" s="59" t="str">
        <x:v>Expected Interest This Month</x:v>
      </x:c>
      <x:c r="D205" s="59" t="str">
        <x:v>VC / Price</x:v>
      </x:c>
      <x:c r="E205" s="57" t="str">
        <x:v>OLTP + OLAP</x:v>
      </x:c>
      <x:c r="F205" s="57" t="str">
        <x:v>-</x:v>
      </x:c>
      <x:c r="G205" s="59" t="str">
        <x:v>Open-loan current-month interest forecast. Daily-installment interest covers only uncharged contract days after the latest posted Charge through the earlier of Due Date and month-end.</x:v>
      </x:c>
      <x:c r="H205" s="59" t="str">
        <x:v>IF([Loan Status] = "ปิดยอดแล้ว", 0, IFS([Loan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5" customHeight="1">
      <x:c r="A215" s="57" t="str">
        <x:v>Loans</x:v>
      </x:c>
      <x:c r="B215" s="57" t="n">
        <x:v>40</x:v>
      </x:c>
      <x:c r="C215" s="59" t="str">
        <x:v>Loan Duration</x:v>
      </x:c>
      <x:c r="D215" s="59" t="str">
        <x:v>VC / Number</x:v>
      </x:c>
      <x:c r="E215" s="57" t="str">
        <x:v>OLTP + OLAP</x:v>
      </x:c>
      <x:c r="F215" s="57" t="str">
        <x:v>-</x:v>
      </x:c>
      <x:c r="G215" s="59" t="str">
        <x:v>Closed-loan duration in calendar days, based on Close Date and inclusive of the Loan Date.</x:v>
      </x:c>
      <x:c r="H215" s="59" t="str">
        <x:v>IF( 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5" customHeight="1">
      <x:c r="A221" s="57" t="str">
        <x:v>Loans</x:v>
      </x:c>
      <x:c r="B221" s="57" t="n">
        <x:v>46</x:v>
      </x:c>
      <x:c r="C221" s="59" t="str">
        <x:v>Last Interest Charge Date</x:v>
      </x:c>
      <x:c r="D221" s="59" t="str">
        <x:v>VC / Date</x:v>
      </x:c>
      <x:c r="E221" s="57" t="str">
        <x:v>OLTP + OLAP</x:v>
      </x:c>
      <x:c r="F221" s="57" t="str">
        <x:v>Searchable</x:v>
      </x:c>
      <x:c r="G221" s="59" t="str">
        <x:v>Latest related Charge Date; the lower boundary for calculating uncharged daily-interest accrual.</x:v>
      </x:c>
      <x:c r="H221" s="59" t="str">
        <x:v>MAX([Related Charges][Charge Date])</x:v>
      </x:c>
    </x:row>
    <x:row r="222" ht="15" customHeight="1">
      <x:c r="A222" s="57" t="str">
        <x:v>Loans</x:v>
      </x:c>
      <x:c r="B222" s="57" t="n">
        <x:v>47</x:v>
      </x:c>
      <x:c r="C222" s="59" t="str">
        <x:v>Accrued Interest Days</x:v>
      </x:c>
      <x:c r="D222" s="59" t="str">
        <x:v>VC / Number</x:v>
      </x:c>
      <x:c r="E222" s="57" t="str">
        <x:v>OLTP + OLAP</x:v>
      </x:c>
      <x:c r="F222" s="57" t="str">
        <x:v>-</x:v>
      </x:c>
      <x:c r="G222" s="59" t="str">
        <x:v>Elapsed accrual days since Last Interest Charge Date, or since Loan Date when no interest charge exists.</x:v>
      </x:c>
      <x:c r="H222" s="59" t="str">
        <x:v>IF( ISBLANK([Last Interest Charge Date]), TOTALHOURS(TODAY() - [Loan Date])/24, TOTALHOURS(TODAY() - [Last Interest Charge Date])/24)</x:v>
      </x:c>
    </x:row>
    <x:row r="223" ht="21.600000381469727" customHeight="1">
      <x:c r="A223" s="57" t="str">
        <x:v>Loans</x:v>
      </x:c>
      <x:c r="B223" s="57" t="n">
        <x:v>48</x:v>
      </x:c>
      <x:c r="C223" s="59" t="str">
        <x:v>Accrued Interest</x:v>
      </x:c>
      <x:c r="D223" s="59" t="str">
        <x:v>VC / Price</x:v>
      </x:c>
      <x:c r="E223" s="57" t="str">
        <x:v>OLTP + OLAP</x:v>
      </x:c>
      <x:c r="F223" s="57" t="str">
        <x:v>Show_If: [Loan Type] = "ดอกเบี้ยรายวัน"</x:v>
      </x:c>
      <x:c r="G223" s="59" t="str">
        <x:v>Uncharged interest for a daily-interest loan, calculated from Current Daily Interest and Accrued Interest Days.</x:v>
      </x:c>
      <x:c r="H223" s="59" t="str">
        <x:v>IF( [Loan Type] = "ดอกเบี้ยรายวัน", [Current Daily Interest] * [Accrued Interest Days], 0)</x:v>
      </x:c>
    </x:row>
    <x:row r="224" ht="15" customHeight="1">
      <x:c r="A224" s="57" t="str">
        <x:v>Loans</x:v>
      </x:c>
      <x:c r="B224" s="57" t="n">
        <x:v>49</x:v>
      </x:c>
      <x:c r="C224" s="59" t="str">
        <x:v>Expected Daily Interest Amount</x:v>
      </x:c>
      <x:c r="D224" s="59" t="str">
        <x:v>VC / Price</x:v>
      </x:c>
      <x:c r="E224" s="57" t="str">
        <x:v>OLTP + OLAP</x:v>
      </x:c>
      <x:c r="F224" s="57" t="str">
        <x:v>Hidden in OLTP + OLAP; OLAP Price with 2 decimal digits</x:v>
      </x:c>
      <x:c r="G224" s="59" t="str">
        <x:v>Open-loan daily-interest amount used by operational forecasts: entered daily interest for daily-interest loans and average contract interest for daily-installment loans; zero otherwise.</x:v>
      </x:c>
      <x:c r="H224" s="59" t="str">
        <x:v>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5" customHeight="1">
      <x:c r="A284" s="57" t="str">
        <x:v>Statistics</x:v>
      </x:c>
      <x:c r="B284" s="57" t="n">
        <x:v>11</x:v>
      </x:c>
      <x:c r="C284" s="59" t="str">
        <x:v>Pending Payment Amount</x:v>
      </x:c>
      <x:c r="D284" s="59" t="str">
        <x:v>VC / Price</x:v>
      </x:c>
      <x:c r="E284" s="57" t="str">
        <x:v>OLTP + OLAP</x:v>
      </x:c>
      <x:c r="F284" s="57" t="str">
        <x:v>-</x:v>
      </x:c>
      <x:c r="G284" s="59" t="str">
        <x:v>Broad sum of all Charges[Amount Remaining] across dates and references; currently reconciles to Collection only while source referential integrity and population scope remain aligned.</x:v>
      </x:c>
      <x:c r="H284" s="59" t="str">
        <x:v>SUM(Charges[Amount Remaining])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5" customHeight="1">
      <x:c r="A286" s="57" t="str">
        <x:v>Statistics</x:v>
      </x:c>
      <x:c r="B286" s="57" t="n">
        <x:v>13</x:v>
      </x:c>
      <x:c r="C286" s="59" t="str">
        <x:v>Today's Outstanding Interest</x:v>
      </x:c>
      <x:c r="D286" s="59" t="str">
        <x:v>VC / Price</x:v>
      </x:c>
      <x:c r="E286" s="57" t="str">
        <x:v>OLTP + OLAP</x:v>
      </x:c>
      <x:c r="F286" s="57" t="str">
        <x:v>-</x:v>
      </x:c>
      <x:c r="G286" s="59" t="str">
        <x:v>Remaining interest across all open Charges without a Charge Date filter; may include prior-period arrears.</x:v>
      </x:c>
      <x:c r="H286" s="59" t="str">
        <x:v>SUM(Charges[Interest Remaining])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309e64d2cbac41c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All six payment trace Refs resolve in both apps. OLTP ownership settings retained. All six OLAP payment Refs are independent; new tables and Repayments are READ_ONLY.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df9d80e7ef94427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Borrowers33 and Todays Collection Board12 fields reconciled at production cutover. Existing OLAP slices retained without schema regeneration.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12</x:v>
      </x:c>
      <x:c r="G5" s="83" t="str">
        <x:v>Read-only borrower workboard restricted to borrowers with a current collection status.</x:v>
      </x:c>
      <x:c r="H5" s="83" t="str">
        <x:v>Production 3.000002; exact ordered membership reconciled to accepted clone. Auto-assigned actions.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33</x:v>
      </x:c>
      <x:c r="G6" s="83" t="str">
        <x:v>Editable borrower-list slice excluding hidden rows; includes the principal-coverage metric.</x:v>
      </x:c>
      <x:c r="H6" s="83" t="str">
        <x:v>Production 3.000002; exact ordered membership reconciled to accepted clone. Auto-assigned actions.</x:v>
      </x:c>
    </x:row>
    <x:row r="7" ht="15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56</x:v>
      </x:c>
      <x:c r="G7" s="59" t="str">
        <x:v>Read-only OLAP subset of borrowers whose outstanding principal is greater than zero.</x:v>
      </x:c>
      <x:c r="H7" s="59"/>
    </x:row>
    <x:row r="8" ht="15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56</x:v>
      </x:c>
      <x:c r="G8" s="59" t="str">
        <x:v>Read-only OLAP subset of borrowers contributing positive interest profit in the last 30 days.</x:v>
      </x:c>
      <x:c r="H8" s="59"/>
    </x:row>
    <x:row r="9" ht="15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TRUE</x:v>
      </x:c>
      <x:c r="E9" s="57" t="str">
        <x:v>Read-only</x:v>
      </x:c>
      <x:c r="F9" s="57" t="n">
        <x:v>51</x:v>
      </x:c>
      <x:c r="G9" s="59" t="str">
        <x:v>Curated, read-only borrower feed for downstream reporting and dashboard reconciliation, including the borrower value/stability matrix fields.</x:v>
      </x:c>
      <x:c r="H9" s="59"/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11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OLAP read-only mirror of the OLTP Todays Collection Board for daily collection export and message-drafting review. The exact column set is adapted to available OLAP fields.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80c610d8cce24a4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5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6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7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8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9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10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11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12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13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14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15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16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17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18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19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20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21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22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23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24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25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26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27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28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29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30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31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32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33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5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6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7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8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9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10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11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12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13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14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15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16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17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18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19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20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21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22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23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24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25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26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27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28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29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30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31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32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33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34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35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36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37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38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39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40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41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42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43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44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45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46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47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48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49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50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51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52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53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54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55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56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5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6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7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8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9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10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11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12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13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14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15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16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17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18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19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20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21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22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23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24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25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26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27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28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29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30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31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32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33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34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35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36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37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38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39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40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41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42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43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44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45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46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47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48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49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50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51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52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53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54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55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56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41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42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43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44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48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49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50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51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9b19210182684cb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trace fields and reverse references now shared with OLAP. Processing-only VCs stay OLTP-only. Collection Todays Amount Collected retains its documented date-basis variance.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76c68eb43fe1490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60023967db45d5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f369b1478b854a5f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aef64db8f7c8477c"/>
  </x:tableParts>
</x:worksheet>
</file>