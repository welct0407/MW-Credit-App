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c38a2016d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67f76b062854fd4"/>
    <x:sheet xmlns:r="http://schemas.openxmlformats.org/officeDocument/2006/relationships" name="Test Cases" sheetId="2" r:id="R773029eab3f0462a"/>
    <x:sheet xmlns:r="http://schemas.openxmlformats.org/officeDocument/2006/relationships" name="Findings" sheetId="3" r:id="Rec33a08e4d08479a"/>
    <x:sheet xmlns:r="http://schemas.openxmlformats.org/officeDocument/2006/relationships" name="Coverage Matrix" sheetId="4" r:id="R21a922159c0b4d4e"/>
    <x:sheet xmlns:r="http://schemas.openxmlformats.org/officeDocument/2006/relationships" name="Environment" sheetId="5" r:id="Rfd7baa7f5d0743f8"/>
    <x:sheet xmlns:r="http://schemas.openxmlformats.org/officeDocument/2006/relationships" name="Synthetic Test Data" sheetId="6" r:id="R1d43d5da6bbd4025"/>
    <x:sheet xmlns:r="http://schemas.openxmlformats.org/officeDocument/2006/relationships" name="Evidence Log" sheetId="7" r:id="R73f0631cc1f84244"/>
    <x:sheet xmlns:r="http://schemas.openxmlformats.org/officeDocument/2006/relationships" name="Manual Follow-up" sheetId="8" r:id="R307abb9ee44a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2"/>
      <x:color rgb="FF9C0006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  <x:font>
      <x:sz val="11"/>
      <x:color rgb="FF1F2937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5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vertical="top" wrapText="1"/>
    </x:xf>
    <x:xf numFmtId="0" fontId="8" fillId="7" borderId="6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vertical="top" wrapText="1"/>
    </x:xf>
    <x:xf numFmtId="0" fontId="8" fillId="7" borderId="10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vertical="top" wrapText="1"/>
    </x:xf>
    <x:xf numFmtId="0" fontId="8" fillId="7" borderId="1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649138f7845b6" /><Relationship Type="http://schemas.openxmlformats.org/officeDocument/2006/relationships/theme" Target="/xl/theme/theme1.xml" Id="R0f59fdc8eb4c4f00" /><Relationship Type="http://schemas.openxmlformats.org/officeDocument/2006/relationships/sharedStrings" Target="/xl/sharedStrings.xml" Id="R3bfd1fd46140469b" /><Relationship Type="http://schemas.openxmlformats.org/officeDocument/2006/relationships/worksheet" Target="/xl/worksheets/sheet1.xml" Id="Re67f76b062854fd4" /><Relationship Type="http://schemas.openxmlformats.org/officeDocument/2006/relationships/worksheet" Target="/xl/worksheets/sheet2.xml" Id="R773029eab3f0462a" /><Relationship Type="http://schemas.openxmlformats.org/officeDocument/2006/relationships/worksheet" Target="/xl/worksheets/sheet3.xml" Id="Rec33a08e4d08479a" /><Relationship Type="http://schemas.openxmlformats.org/officeDocument/2006/relationships/worksheet" Target="/xl/worksheets/sheet4.xml" Id="R21a922159c0b4d4e" /><Relationship Type="http://schemas.openxmlformats.org/officeDocument/2006/relationships/worksheet" Target="/xl/worksheets/sheet5.xml" Id="Rfd7baa7f5d0743f8" /><Relationship Type="http://schemas.openxmlformats.org/officeDocument/2006/relationships/worksheet" Target="/xl/worksheets/sheet6.xml" Id="R1d43d5da6bbd4025" /><Relationship Type="http://schemas.openxmlformats.org/officeDocument/2006/relationships/worksheet" Target="/xl/worksheets/sheet7.xml" Id="R73f0631cc1f84244" /><Relationship Type="http://schemas.openxmlformats.org/officeDocument/2006/relationships/worksheet" Target="/xl/worksheets/sheet8.xml" Id="R307abb9ee44a40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8" hidden="0" customWidth="1"/>
    <x:col min="5" max="5" width="28" hidden="0" customWidth="1"/>
    <x:col min="6" max="6" width="30" hidden="0" customWidth="1"/>
    <x:col min="7" max="7" width="34" hidden="0" customWidth="1"/>
    <x:col min="8" max="8" width="18" hidden="0" customWidth="1"/>
  </x:cols>
  <x:sheetData>
    <x:row r="1" ht="34" customHeight="1">
      <x:c r="A1" s="87" t="str">
        <x:v>OLTP APP – COMPLETE TEST REPORT</x:v>
      </x:c>
      <x:c r="B1" s="88"/>
      <x:c r="C1" s="88"/>
      <x:c r="D1" s="88"/>
      <x:c r="E1" s="88"/>
      <x:c r="F1" s="88"/>
      <x:c r="G1" s="88"/>
      <x:c r="H1" s="88"/>
    </x:row>
    <x:row r="2" ht="32" customHeight="1">
      <x:c r="A2" s="6" t="str">
        <x:v>Round OLTP_Full_Test_20260830-221908 | Executed 2026-08-30 | Isolated AppSheet app + native database clone</x:v>
      </x:c>
      <x:c r="B2" s="6"/>
      <x:c r="C2" s="6"/>
      <x:c r="D2" s="6"/>
      <x:c r="E2" s="6"/>
      <x:c r="F2" s="6"/>
      <x:c r="G2" s="6"/>
      <x:c r="H2" s="6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 ht="32" customHeight="1">
      <x:c r="A4" s="9" t="str">
        <x:v>OVERALL RESULT: CONDITIONAL FAIL – PRODUCTION ISOLATED; REMEDIATION REQUIRED BEFORE ACCEPTANCE</x:v>
      </x:c>
      <x:c r="B4" s="9"/>
      <x:c r="C4" s="9"/>
      <x:c r="D4" s="9"/>
      <x:c r="E4" s="9"/>
      <x:c r="F4" s="9"/>
      <x:c r="G4" s="9"/>
      <x:c r="H4" s="9"/>
    </x:row>
    <x:row r="5">
      <x:c r="A5" s="88"/>
      <x:c r="B5" s="88"/>
      <x:c r="C5" s="88"/>
      <x:c r="D5" s="88"/>
      <x:c r="E5" s="88"/>
      <x:c r="F5" s="88"/>
      <x:c r="G5" s="88"/>
      <x:c r="H5" s="88"/>
    </x:row>
    <x:row r="6">
      <x:c r="A6" s="14" t="str">
        <x:v>Metric</x:v>
      </x:c>
      <x:c r="B6" s="14" t="str">
        <x:v>Result</x:v>
      </x:c>
      <x:c r="C6" s="88"/>
      <x:c r="D6" s="14" t="str">
        <x:v>Decision summary</x:v>
      </x:c>
      <x:c r="E6" s="14"/>
      <x:c r="F6" s="14"/>
      <x:c r="G6" s="14"/>
      <x:c r="H6" s="14"/>
    </x:row>
    <x:row r="7" ht="22" customHeight="1">
      <x:c r="A7" s="22" t="str">
        <x:v>Total cases</x:v>
      </x:c>
      <x:c r="B7" s="25" t="n">
        <x:f>COUNTA('Test Cases'!$A$6:$A$80)</x:f>
        <x:v>73</x:v>
      </x:c>
      <x:c r="C7" s="88"/>
      <x:c r="D7" s="47" t="str">
        <x:v>The production app and database were not changed, and synthetic records were proven to exist only in the native test database. Core borrower, loan, payment, closure, synchronization, and first-day automation scenarios generally worked. Acceptance is not recommended until the orphan-loan path and negative-charge validation are remediated and retested. Scheduled automation, notifications, offline conflict handling, default processing, reversals, and multi-user permissions still require controlled manual execution.</x:v>
      </x:c>
      <x:c r="E7" s="48"/>
      <x:c r="F7" s="48"/>
      <x:c r="G7" s="48"/>
      <x:c r="H7" s="49"/>
    </x:row>
    <x:row r="8" ht="22" customHeight="1">
      <x:c r="A8" s="23" t="str">
        <x:v>Pass</x:v>
      </x:c>
      <x:c r="B8" s="26" t="n">
        <x:f>COUNTIF('Test Cases'!$H$6:$H$80,"PASS")</x:f>
        <x:v>50</x:v>
      </x:c>
      <x:c r="C8" s="88"/>
      <x:c r="D8" s="50"/>
      <x:c r="E8" s="51"/>
      <x:c r="F8" s="51"/>
      <x:c r="G8" s="51"/>
      <x:c r="H8" s="52"/>
    </x:row>
    <x:row r="9" ht="22" customHeight="1">
      <x:c r="A9" s="23" t="str">
        <x:v>Fail</x:v>
      </x:c>
      <x:c r="B9" s="26" t="n">
        <x:f>COUNTIF('Test Cases'!$H$6:$H$80,"FAIL")</x:f>
        <x:v>9</x:v>
      </x:c>
      <x:c r="C9" s="88"/>
      <x:c r="D9" s="50"/>
      <x:c r="E9" s="51"/>
      <x:c r="F9" s="51"/>
      <x:c r="G9" s="51"/>
      <x:c r="H9" s="52"/>
    </x:row>
    <x:row r="10" ht="22" customHeight="1">
      <x:c r="A10" s="23" t="str">
        <x:v>Blocked</x:v>
      </x:c>
      <x:c r="B10" s="26" t="n">
        <x:f>COUNTIF('Test Cases'!$H$6:$H$80,"BLOCKED")</x:f>
        <x:v>8</x:v>
      </x:c>
      <x:c r="C10" s="88"/>
      <x:c r="D10" s="50"/>
      <x:c r="E10" s="51"/>
      <x:c r="F10" s="51"/>
      <x:c r="G10" s="51"/>
      <x:c r="H10" s="52"/>
    </x:row>
    <x:row r="11" ht="22" customHeight="1">
      <x:c r="A11" s="23" t="str">
        <x:v>Not run</x:v>
      </x:c>
      <x:c r="B11" s="26" t="n">
        <x:f>COUNTIF('Test Cases'!$H$6:$H$80,"NOT RUN")</x:f>
        <x:v>3</x:v>
      </x:c>
      <x:c r="C11" s="88"/>
      <x:c r="D11" s="50"/>
      <x:c r="E11" s="51"/>
      <x:c r="F11" s="51"/>
      <x:c r="G11" s="51"/>
      <x:c r="H11" s="52"/>
    </x:row>
    <x:row r="12" ht="22" customHeight="1">
      <x:c r="A12" s="23" t="str">
        <x:v>Observations</x:v>
      </x:c>
      <x:c r="B12" s="26" t="n">
        <x:f>COUNTIF('Test Cases'!$H$6:$H$80,"OBSERVATION")</x:f>
        <x:v>3</x:v>
      </x:c>
      <x:c r="C12" s="88"/>
      <x:c r="D12" s="50"/>
      <x:c r="E12" s="51"/>
      <x:c r="F12" s="51"/>
      <x:c r="G12" s="51"/>
      <x:c r="H12" s="52"/>
    </x:row>
    <x:row r="13" ht="22" customHeight="1">
      <x:c r="A13" s="24" t="str">
        <x:v>High-severity open findings</x:v>
      </x:c>
      <x:c r="B13" s="27" t="n">
        <x:f>COUNTIFS('Findings'!$B$6:$B$20,"High",'Findings'!$C$6:$C$20,"Open")</x:f>
        <x:v>2</x:v>
      </x:c>
      <x:c r="C13" s="88"/>
      <x:c r="D13" s="53"/>
      <x:c r="E13" s="54"/>
      <x:c r="F13" s="54"/>
      <x:c r="G13" s="54"/>
      <x:c r="H13" s="55"/>
    </x:row>
    <x:row r="14">
      <x:c r="A14" s="88"/>
      <x:c r="B14" s="88"/>
      <x:c r="C14" s="88"/>
      <x:c r="D14" s="88"/>
      <x:c r="E14" s="88"/>
      <x:c r="F14" s="88"/>
      <x:c r="G14" s="88"/>
      <x:c r="H14" s="88"/>
    </x:row>
    <x:row r="15">
      <x:c r="A15" s="88"/>
      <x:c r="B15" s="88"/>
      <x:c r="C15" s="88"/>
      <x:c r="D15" s="88"/>
      <x:c r="E15" s="88"/>
      <x:c r="F15" s="88"/>
      <x:c r="G15" s="88"/>
      <x:c r="H15" s="88"/>
    </x:row>
    <x:row r="16">
      <x:c r="A16" s="14" t="str">
        <x:v>Priority findings</x:v>
      </x:c>
      <x:c r="B16" s="14"/>
      <x:c r="C16" s="14"/>
      <x:c r="D16" s="14"/>
      <x:c r="E16" s="14"/>
      <x:c r="F16" s="14"/>
      <x:c r="G16" s="14"/>
      <x:c r="H16" s="14"/>
    </x:row>
    <x:row r="17">
      <x:c r="A17" s="14" t="str">
        <x:v>ID</x:v>
      </x:c>
      <x:c r="B17" s="14" t="str">
        <x:v>Severity</x:v>
      </x:c>
      <x:c r="C17" s="14" t="str">
        <x:v>Status</x:v>
      </x:c>
      <x:c r="D17" s="14" t="str">
        <x:v>Area</x:v>
      </x:c>
      <x:c r="E17" s="14" t="str">
        <x:v>Finding</x:v>
      </x:c>
      <x:c r="F17" s="14" t="str">
        <x:v>Business impact</x:v>
      </x:c>
      <x:c r="G17" s="14" t="str">
        <x:v>Recommended action</x:v>
      </x:c>
      <x:c r="H17" s="14" t="str">
        <x:v>Cases</x:v>
      </x:c>
    </x:row>
    <x:row r="18">
      <x:c r="A18" s="22" t="str">
        <x:v>F-001</x:v>
      </x:c>
      <x:c r="B18" s="22" t="str">
        <x:v>High</x:v>
      </x:c>
      <x:c r="C18" s="22" t="str">
        <x:v>Open</x:v>
      </x:c>
      <x:c r="D18" s="22" t="str">
        <x:v>Loans / Collections</x:v>
      </x:c>
      <x:c r="E18" s="22" t="str">
        <x:v>Global Add Loan can create an active loan with no borrower reference.</x:v>
      </x:c>
      <x:c r="F18" s="22" t="str">
        <x:v>Orphan balances are excluded from borrower collection workflows and can undermine reconciliation and accountability.</x:v>
      </x:c>
      <x:c r="G18" s="22" t="str">
        <x:v>Make Ref Borrowers required at schema/form level on every add path; expose borrower selection on global Add; add an exception slice for any historical orphan; retest creation, collection board and KPIs.</x:v>
      </x:c>
      <x:c r="H18" s="22" t="str">
        <x:v>LOAN-019, LOAN-020, COL-004</x:v>
      </x:c>
    </x:row>
    <x:row r="19">
      <x:c r="A19" s="23" t="str">
        <x:v>F-002</x:v>
      </x:c>
      <x:c r="B19" s="23" t="str">
        <x:v>Medium</x:v>
      </x:c>
      <x:c r="C19" s="23" t="str">
        <x:v>Open</x:v>
      </x:c>
      <x:c r="D19" s="23" t="str">
        <x:v>Charges / Repayments</x:v>
      </x:c>
      <x:c r="E19" s="23" t="str">
        <x:v>Zero-value charges and zero-value repayments can be saved.</x:v>
      </x:c>
      <x:c r="F19" s="23" t="str">
        <x:v>Creates financially meaningless audit rows, increases duplicate/automation-loop risk and obscures real activity.</x:v>
      </x:c>
      <x:c r="G19" s="23" t="str">
        <x:v>Require Principal Due + Interest Due &gt; 0 and Principal Paid + Interest Paid &lt;&gt; 0 only through an explicit adjustment process; block ordinary zero rows.</x:v>
      </x:c>
      <x:c r="H19" s="23" t="str">
        <x:v>CHG-001, PAY-003</x:v>
      </x:c>
    </x:row>
    <x:row r="20">
      <x:c r="A20" s="23" t="str">
        <x:v>F-003</x:v>
      </x:c>
      <x:c r="B20" s="23" t="str">
        <x:v>High</x:v>
      </x:c>
      <x:c r="C20" s="23" t="str">
        <x:v>Open</x:v>
      </x:c>
      <x:c r="D20" s="23" t="str">
        <x:v>Charges</x:v>
      </x:c>
      <x:c r="E20" s="23" t="str">
        <x:v>Negative principal due and interest due are accepted; Amount Due becomes -2 and the receipt action silently no-ops.</x:v>
      </x:c>
      <x:c r="F20" s="23" t="str">
        <x:v>Invalid liabilities can enter the ledger, list/detail displays disagree, and the workflow becomes unrecoverable through normal payment actions.</x:v>
      </x:c>
      <x:c r="G20" s="23" t="str">
        <x:v>Require each due component &gt;= 0 and total due &gt; 0; hide actions for invalid legacy rows; add an exception report and controlled correction path.</x:v>
      </x:c>
      <x:c r="H20" s="23" t="str">
        <x:v>CHG-002, CHG-003, CHG-004</x:v>
      </x:c>
    </x:row>
    <x:row r="21">
      <x:c r="A21" s="23" t="str">
        <x:v>F-004</x:v>
      </x:c>
      <x:c r="B21" s="23" t="str">
        <x:v>Medium</x:v>
      </x:c>
      <x:c r="C21" s="23" t="str">
        <x:v>Open</x:v>
      </x:c>
      <x:c r="D21" s="23" t="str">
        <x:v>Charge status</x:v>
      </x:c>
      <x:c r="E21" s="23" t="str">
        <x:v>Past-due unpaid/partial charges remain Pending/Partial; overdue is not represented in Payment Status.</x:v>
      </x:c>
      <x:c r="F21" s="23" t="str">
        <x:v>Users can miss delinquency when viewing a charge directly, and downstream consumers may interpret status inconsistently.</x:v>
      </x:c>
      <x:c r="G21" s="23" t="str">
        <x:v>Define a governed as-of-date delinquency state or separate Overdue flag/bucket; document precedence with Paid/Partial; reconcile collection-board logic.</x:v>
      </x:c>
      <x:c r="H21" s="23" t="str">
        <x:v>CHG-006</x:v>
      </x:c>
    </x:row>
    <x:row r="22">
      <x:c r="A22" s="23" t="str">
        <x:v>F-005</x:v>
      </x:c>
      <x:c r="B22" s="23" t="str">
        <x:v>Medium</x:v>
      </x:c>
      <x:c r="C22" s="23" t="str">
        <x:v>Review</x:v>
      </x:c>
      <x:c r="D22" s="23" t="str">
        <x:v>Repayments / Adjustments</x:v>
      </x:c>
      <x:c r="E22" s="23" t="str">
        <x:v>Negative interest can be entered by editing an ordinary repayment without a dedicated adjustment/reversal type.</x:v>
      </x:c>
      <x:c r="F22" s="23" t="str">
        <x:v>If used for default or correction, reason, authorization and linkage to the original posting are not explicit.</x:v>
      </x:c>
      <x:c r="G22" s="23" t="str">
        <x:v>Confirm business intent. If adjustments are needed, use controlled type/reason/reference fields and restrict ordinary repayment edits.</x:v>
      </x:c>
      <x:c r="H22" s="23" t="str">
        <x:v>PAY-002</x:v>
      </x:c>
    </x:row>
    <x:row r="23">
      <x:c r="A23" s="24" t="str">
        <x:v>F-006</x:v>
      </x:c>
      <x:c r="B23" s="24" t="str">
        <x:v>Low</x:v>
      </x:c>
      <x:c r="C23" s="24" t="str">
        <x:v>Review</x:v>
      </x:c>
      <x:c r="D23" s="24" t="str">
        <x:v>Fixed-term loans</x:v>
      </x:c>
      <x:c r="E23" s="24" t="str">
        <x:v>Future-due fixed charge can be fully paid before its due date.</x:v>
      </x:c>
      <x:c r="F23" s="24" t="str">
        <x:v>May be correct, but early-payment policy and reporting basis must be explicit.</x:v>
      </x:c>
      <x:c r="G23" s="24" t="str">
        <x:v>Confirm policy; if prohibited, validate Payment Date &gt;= permitted date. If allowed, document as an accepted scenario.</x:v>
      </x:c>
      <x:c r="H23" s="24" t="str">
        <x:v>LOAN-015</x:v>
      </x:c>
    </x:row>
    <x:row r="24">
      <x:c r="A24" s="88"/>
      <x:c r="B24" s="88"/>
      <x:c r="C24" s="88"/>
      <x:c r="D24" s="88"/>
      <x:c r="E24" s="88"/>
      <x:c r="F24" s="88"/>
      <x:c r="G24" s="88"/>
      <x:c r="H24" s="88"/>
    </x:row>
    <x:row r="25">
      <x:c r="A25" s="14" t="str">
        <x:v>Release recommendation</x:v>
      </x:c>
      <x:c r="B25" s="14"/>
      <x:c r="C25" s="14"/>
      <x:c r="D25" s="14"/>
      <x:c r="E25" s="14"/>
      <x:c r="F25" s="14"/>
      <x:c r="G25" s="14"/>
      <x:c r="H25" s="14"/>
    </x:row>
    <x:row r="26">
      <x:c r="A26" s="75" t="str">
        <x:v>Do not treat this round as accepted. Fix F-001 and F-003 first, add validation for F-002, decide the governed overdue/adjustment policies, and then run the targeted manual and remediation tests listed in this workbook. Keep the clone isolated and non-deployed until explicit approval is given for scheduled and notification testing.</x:v>
      </x:c>
      <x:c r="B26" s="76"/>
      <x:c r="C26" s="76"/>
      <x:c r="D26" s="76"/>
      <x:c r="E26" s="76"/>
      <x:c r="F26" s="76"/>
      <x:c r="G26" s="76"/>
      <x:c r="H26" s="77"/>
    </x:row>
    <x:row r="27">
      <x:c r="A27" s="78"/>
      <x:c r="B27" s="79"/>
      <x:c r="C27" s="79"/>
      <x:c r="D27" s="79"/>
      <x:c r="E27" s="79"/>
      <x:c r="F27" s="79"/>
      <x:c r="G27" s="79"/>
      <x:c r="H27" s="80"/>
    </x:row>
    <x:row r="28">
      <x:c r="A28" s="81"/>
      <x:c r="B28" s="82"/>
      <x:c r="C28" s="82"/>
      <x:c r="D28" s="82"/>
      <x:c r="E28" s="82"/>
      <x:c r="F28" s="82"/>
      <x:c r="G28" s="82"/>
      <x:c r="H28" s="83"/>
    </x:row>
  </x:sheetData>
  <x:mergeCells>
    <x:mergeCell ref="A1:H1"/>
    <x:mergeCell ref="A2:H2"/>
    <x:mergeCell ref="A4:H4"/>
    <x:mergeCell ref="D6:H6"/>
    <x:mergeCell ref="D7:H13"/>
    <x:mergeCell ref="A16:H16"/>
    <x:mergeCell ref="A25:H25"/>
    <x:mergeCell ref="A26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4" hidden="0" customWidth="1"/>
    <x:col min="5" max="5" width="38" hidden="0" customWidth="1"/>
    <x:col min="6" max="6" width="36" hidden="0" customWidth="1"/>
    <x:col min="7" max="7" width="42" hidden="0" customWidth="1"/>
    <x:col min="8" max="8" width="14" hidden="0" customWidth="1"/>
    <x:col min="9" max="9" width="12" hidden="0" customWidth="1"/>
    <x:col min="10" max="10" width="16" hidden="0" customWidth="1"/>
    <x:col min="11" max="11" width="24" hidden="0" customWidth="1"/>
    <x:col min="12" max="12" width="12" hidden="0" customWidth="1"/>
  </x:cols>
  <x:sheetData>
    <x:row r="1" ht="34" customHeight="1">
      <x:c r="A1" s="87" t="str">
        <x:v>DETAILED TEST CASES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</x:row>
    <x:row r="2" ht="32" customHeight="1">
      <x:c r="A2" s="6" t="str">
        <x:v>Status reflects this executed round only. Production data was never used as test input and production records were not altered.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</x:row>
    <x:row r="5">
      <x:c r="A5" s="14" t="str">
        <x:v>Test ID</x:v>
      </x:c>
      <x:c r="B5" s="14" t="str">
        <x:v>Area</x:v>
      </x:c>
      <x:c r="C5" s="14" t="str">
        <x:v>Scenario</x:v>
      </x:c>
      <x:c r="D5" s="14" t="str">
        <x:v>Preconditions</x:v>
      </x:c>
      <x:c r="E5" s="14" t="str">
        <x:v>Procedure</x:v>
      </x:c>
      <x:c r="F5" s="14" t="str">
        <x:v>Expected result</x:v>
      </x:c>
      <x:c r="G5" s="14" t="str">
        <x:v>Actual result</x:v>
      </x:c>
      <x:c r="H5" s="14" t="str">
        <x:v>Status</x:v>
      </x:c>
      <x:c r="I5" s="14" t="str">
        <x:v>Severity</x:v>
      </x:c>
      <x:c r="J5" s="14" t="str">
        <x:v>Execution mode</x:v>
      </x:c>
      <x:c r="K5" s="14" t="str">
        <x:v>Evidence / notes</x:v>
      </x:c>
      <x:c r="L5" s="14" t="str">
        <x:v>Finding ID</x:v>
      </x:c>
    </x:row>
    <x:row r="6" ht="54" customHeight="1">
      <x:c r="A6" s="22" t="str">
        <x:v>ENV-001</x:v>
      </x:c>
      <x:c r="B6" s="22" t="str">
        <x:v>Environment</x:v>
      </x:c>
      <x:c r="C6" s="22" t="str">
        <x:v>Record production rollback version</x:v>
      </x:c>
      <x:c r="D6" s="22" t="str">
        <x:v>Production app available read-only</x:v>
      </x:c>
      <x:c r="E6" s="22" t="str">
        <x:v>Open Manage &gt; Versions and record current version before cloning.</x:v>
      </x:c>
      <x:c r="F6" s="22" t="str">
        <x:v>A restorable production version is recorded.</x:v>
      </x:c>
      <x:c r="G6" s="22" t="str">
        <x:v>Production OLTP version 2.200076 recorded before test activity.</x:v>
      </x:c>
      <x:c r="H6" s="22" t="str">
        <x:v>PASS</x:v>
      </x:c>
      <x:c r="I6" s="22" t="str"/>
      <x:c r="J6" s="22" t="str">
        <x:v>Automated UI</x:v>
      </x:c>
      <x:c r="K6" s="22" t="str">
        <x:v>Live editor; no production edits</x:v>
      </x:c>
      <x:c r="L6" s="22" t="str"/>
    </x:row>
    <x:row r="7" ht="54" customHeight="1">
      <x:c r="A7" s="23" t="str">
        <x:v>ENV-002</x:v>
      </x:c>
      <x:c r="B7" s="23" t="str">
        <x:v>Environment</x:v>
      </x:c>
      <x:c r="C7" s="23" t="str">
        <x:v>Clone OLTP app with native AppSheet database</x:v>
      </x:c>
      <x:c r="D7" s="23" t="str">
        <x:v>Production version recorded</x:v>
      </x:c>
      <x:c r="E7" s="23" t="str">
        <x:v>Use Copy app; select AppSheet database; copy table and file data.</x:v>
      </x:c>
      <x:c r="F7" s="23" t="str">
        <x:v>Separate test app is created with native copied data.</x:v>
      </x:c>
      <x:c r="G7" s="23" t="str">
        <x:v>OLTP DB TEST 20260830-221908 created; app ID fa3882d6-993d-450e-b7fc-15c3c7545263.</x:v>
      </x:c>
      <x:c r="H7" s="23" t="str">
        <x:v>PASS</x:v>
      </x:c>
      <x:c r="I7" s="23" t="str"/>
      <x:c r="J7" s="23" t="str">
        <x:v>Automated UI</x:v>
      </x:c>
      <x:c r="K7" s="23" t="str">
        <x:v>Clone editor</x:v>
      </x:c>
      <x:c r="L7" s="23" t="str"/>
    </x:row>
    <x:row r="8" ht="54" customHeight="1">
      <x:c r="A8" s="23" t="str">
        <x:v>ENV-003</x:v>
      </x:c>
      <x:c r="B8" s="23" t="str">
        <x:v>Environment</x:v>
      </x:c>
      <x:c r="C8" s="23" t="str">
        <x:v>Clone all database tables</x:v>
      </x:c>
      <x:c r="D8" s="23" t="str">
        <x:v>Production database available</x:v>
      </x:c>
      <x:c r="E8" s="23" t="str">
        <x:v>Open cloned data source and compare table list.</x:v>
      </x:c>
      <x:c r="F8" s="23" t="str">
        <x:v>All 10 tables are present in cloned database.</x:v>
      </x:c>
      <x:c r="G8" s="23" t="str">
        <x:v>Money DB TEST 20260830-221908 contains the same 10 table names.</x:v>
      </x:c>
      <x:c r="H8" s="23" t="str">
        <x:v>PASS</x:v>
      </x:c>
      <x:c r="I8" s="23" t="str"/>
      <x:c r="J8" s="23" t="str">
        <x:v>Automated UI</x:v>
      </x:c>
      <x:c r="K8" s="23" t="str">
        <x:v>AppSheet database UI</x:v>
      </x:c>
      <x:c r="L8" s="23" t="str"/>
    </x:row>
    <x:row r="9" ht="54" customHeight="1">
      <x:c r="A9" s="23" t="str">
        <x:v>ENV-004</x:v>
      </x:c>
      <x:c r="B9" s="23" t="str">
        <x:v>Environment</x:v>
      </x:c>
      <x:c r="C9" s="23" t="str">
        <x:v>Verify database identity separation</x:v>
      </x:c>
      <x:c r="D9" s="23" t="str">
        <x:v>Both data sources available</x:v>
      </x:c>
      <x:c r="E9" s="23" t="str">
        <x:v>Compare database IDs and app table source.</x:v>
      </x:c>
      <x:c r="F9" s="23" t="str">
        <x:v>Test app points to a different database ID.</x:v>
      </x:c>
      <x:c r="G9" s="23" t="str">
        <x:v>Production 9Y5vh3TFzZ4sIe2JgNh4l0; test qlNWJ209fg40Mrk3sGqtwd.</x:v>
      </x:c>
      <x:c r="H9" s="23" t="str">
        <x:v>PASS</x:v>
      </x:c>
      <x:c r="I9" s="23" t="str"/>
      <x:c r="J9" s="23" t="str">
        <x:v>Automated UI</x:v>
      </x:c>
      <x:c r="K9" s="23" t="str">
        <x:v>Distinct IDs and source qualifier</x:v>
      </x:c>
      <x:c r="L9" s="23" t="str"/>
    </x:row>
    <x:row r="10" ht="54" customHeight="1">
      <x:c r="A10" s="23" t="str">
        <x:v>ENV-005</x:v>
      </x:c>
      <x:c r="B10" s="23" t="str">
        <x:v>Environment</x:v>
      </x:c>
      <x:c r="C10" s="23" t="str">
        <x:v>Verify synthetic data isolation</x:v>
      </x:c>
      <x:c r="D10" s="23" t="str">
        <x:v>Synthetic borrower created in test</x:v>
      </x:c>
      <x:c r="E10" s="23" t="str">
        <x:v>Search production and test Borrowers tables.</x:v>
      </x:c>
      <x:c r="F10" s="23" t="str">
        <x:v>Synthetic prefix appears only in test data.</x:v>
      </x:c>
      <x:c r="G10" s="23" t="str">
        <x:v>Test database contains TST-221908-A (row 18); production remains 17 rows and has no TST-221908 prefix.</x:v>
      </x:c>
      <x:c r="H10" s="23" t="str">
        <x:v>PASS</x:v>
      </x:c>
      <x:c r="I10" s="23" t="str"/>
      <x:c r="J10" s="23" t="str">
        <x:v>Automated UI</x:v>
      </x:c>
      <x:c r="K10" s="23" t="str">
        <x:v>Database grid comparison</x:v>
      </x:c>
      <x:c r="L10" s="23" t="str"/>
    </x:row>
    <x:row r="11" ht="54" customHeight="1">
      <x:c r="A11" s="23" t="str">
        <x:v>ENV-006</x:v>
      </x:c>
      <x:c r="B11" s="23" t="str">
        <x:v>Environment</x:v>
      </x:c>
      <x:c r="C11" s="23" t="str">
        <x:v>Keep test clone non-production</x:v>
      </x:c>
      <x:c r="D11" s="23" t="str">
        <x:v>Clone created</x:v>
      </x:c>
      <x:c r="E11" s="23" t="str">
        <x:v>Inspect deployment state and do not deploy.</x:v>
      </x:c>
      <x:c r="F11" s="23" t="str">
        <x:v>Clone remains prototype; scheduled tasks cannot affect production.</x:v>
      </x:c>
      <x:c r="G11" s="23" t="str">
        <x:v>Clone remained prototype; no production deployment or notification was performed.</x:v>
      </x:c>
      <x:c r="H11" s="23" t="str">
        <x:v>PASS</x:v>
      </x:c>
      <x:c r="I11" s="23" t="str"/>
      <x:c r="J11" s="23" t="str">
        <x:v>Configuration</x:v>
      </x:c>
      <x:c r="K11" s="23" t="str">
        <x:v>Deployment warning</x:v>
      </x:c>
      <x:c r="L11" s="23" t="str"/>
    </x:row>
    <x:row r="12" ht="54" customHeight="1">
      <x:c r="A12" s="23" t="str">
        <x:v>BRW-001</x:v>
      </x:c>
      <x:c r="B12" s="23" t="str">
        <x:v>Borrowers</x:v>
      </x:c>
      <x:c r="C12" s="23" t="str">
        <x:v>Borrower name required</x:v>
      </x:c>
      <x:c r="D12" s="23" t="str">
        <x:v>Borrower form open</x:v>
      </x:c>
      <x:c r="E12" s="23" t="str">
        <x:v>Leave borrower name blank and save.</x:v>
      </x:c>
      <x:c r="F12" s="23" t="str">
        <x:v>Save is blocked with a required-field message.</x:v>
      </x:c>
      <x:c r="G12" s="23" t="str">
        <x:v>Save blocked with Thai required-field message.</x:v>
      </x:c>
      <x:c r="H12" s="23" t="str">
        <x:v>PASS</x:v>
      </x:c>
      <x:c r="I12" s="23" t="str"/>
      <x:c r="J12" s="23" t="str">
        <x:v>Automated UI</x:v>
      </x:c>
      <x:c r="K12" s="23" t="str">
        <x:v>Borrowers form validation</x:v>
      </x:c>
      <x:c r="L12" s="23" t="str"/>
    </x:row>
    <x:row r="13" ht="54" customHeight="1">
      <x:c r="A13" s="23" t="str">
        <x:v>BRW-002</x:v>
      </x:c>
      <x:c r="B13" s="23" t="str">
        <x:v>Borrowers</x:v>
      </x:c>
      <x:c r="C13" s="23" t="str">
        <x:v>Create valid synthetic borrower</x:v>
      </x:c>
      <x:c r="D13" s="23" t="str">
        <x:v>Unique synthetic name available</x:v>
      </x:c>
      <x:c r="E13" s="23" t="str">
        <x:v>Enter synthetic name, phone, description and save.</x:v>
      </x:c>
      <x:c r="F13" s="23" t="str">
        <x:v>Borrower is created and searchable.</x:v>
      </x:c>
      <x:c r="G13" s="23" t="str">
        <x:v>TST-221908-A created successfully.</x:v>
      </x:c>
      <x:c r="H13" s="23" t="str">
        <x:v>PASS</x:v>
      </x:c>
      <x:c r="I13" s="23" t="str"/>
      <x:c r="J13" s="23" t="str">
        <x:v>Automated UI</x:v>
      </x:c>
      <x:c r="K13" s="23" t="str">
        <x:v>Borrowers list search</x:v>
      </x:c>
      <x:c r="L13" s="23" t="str"/>
    </x:row>
    <x:row r="14" ht="54" customHeight="1">
      <x:c r="A14" s="23" t="str">
        <x:v>BRW-003</x:v>
      </x:c>
      <x:c r="B14" s="23" t="str">
        <x:v>Borrowers</x:v>
      </x:c>
      <x:c r="C14" s="23" t="str">
        <x:v>Reject exact duplicate name</x:v>
      </x:c>
      <x:c r="D14" s="23" t="str">
        <x:v>Synthetic borrower exists</x:v>
      </x:c>
      <x:c r="E14" s="23" t="str">
        <x:v>Attempt exact duplicate name.</x:v>
      </x:c>
      <x:c r="F14" s="23" t="str">
        <x:v>Duplicate is blocked.</x:v>
      </x:c>
      <x:c r="G14" s="23" t="str">
        <x:v>Bilingual duplicate-name message displayed.</x:v>
      </x:c>
      <x:c r="H14" s="23" t="str">
        <x:v>PASS</x:v>
      </x:c>
      <x:c r="I14" s="23" t="str"/>
      <x:c r="J14" s="23" t="str">
        <x:v>Automated UI</x:v>
      </x:c>
      <x:c r="K14" s="23" t="str">
        <x:v>Borrowers form validation</x:v>
      </x:c>
      <x:c r="L14" s="23" t="str"/>
    </x:row>
    <x:row r="15" ht="54" customHeight="1">
      <x:c r="A15" s="23" t="str">
        <x:v>BRW-004</x:v>
      </x:c>
      <x:c r="B15" s="23" t="str">
        <x:v>Borrowers</x:v>
      </x:c>
      <x:c r="C15" s="23" t="str">
        <x:v>Reject normalized duplicate name</x:v>
      </x:c>
      <x:c r="D15" s="23" t="str">
        <x:v>Synthetic borrower exists</x:v>
      </x:c>
      <x:c r="E15" s="23" t="str">
        <x:v>Attempt duplicate with leading/trailing spaces and different case.</x:v>
      </x:c>
      <x:c r="F15" s="23" t="str">
        <x:v>Normalized duplicate is blocked.</x:v>
      </x:c>
      <x:c r="G15" s="23" t="str">
        <x:v>Normalized value was rejected with duplicate-name message.</x:v>
      </x:c>
      <x:c r="H15" s="23" t="str">
        <x:v>PASS</x:v>
      </x:c>
      <x:c r="I15" s="23" t="str"/>
      <x:c r="J15" s="23" t="str">
        <x:v>Automated UI</x:v>
      </x:c>
      <x:c r="K15" s="23" t="str">
        <x:v>Borrowers form validation</x:v>
      </x:c>
      <x:c r="L15" s="23" t="str"/>
    </x:row>
    <x:row r="16" ht="54" customHeight="1">
      <x:c r="A16" s="23" t="str">
        <x:v>BRW-005</x:v>
      </x:c>
      <x:c r="B16" s="23" t="str">
        <x:v>Borrowers</x:v>
      </x:c>
      <x:c r="C16" s="23" t="str">
        <x:v>Telephone entry accepts synthetic value</x:v>
      </x:c>
      <x:c r="D16" s="23" t="str">
        <x:v>Borrower form open</x:v>
      </x:c>
      <x:c r="E16" s="23" t="str">
        <x:v>Enter synthetic 10-digit telephone and save.</x:v>
      </x:c>
      <x:c r="F16" s="23" t="str">
        <x:v>Value saves without exposing real personal data.</x:v>
      </x:c>
      <x:c r="G16" s="23" t="str">
        <x:v>0000000000 saved in test database only.</x:v>
      </x:c>
      <x:c r="H16" s="23" t="str">
        <x:v>PASS</x:v>
      </x:c>
      <x:c r="I16" s="23" t="str"/>
      <x:c r="J16" s="23" t="str">
        <x:v>Automated UI</x:v>
      </x:c>
      <x:c r="K16" s="23" t="str">
        <x:v>Synthetic data</x:v>
      </x:c>
      <x:c r="L16" s="23" t="str"/>
    </x:row>
    <x:row r="17" ht="54" customHeight="1">
      <x:c r="A17" s="23" t="str">
        <x:v>BRW-006</x:v>
      </x:c>
      <x:c r="B17" s="23" t="str">
        <x:v>Borrowers</x:v>
      </x:c>
      <x:c r="C17" s="23" t="str">
        <x:v>Search borrower by synthetic prefix</x:v>
      </x:c>
      <x:c r="D17" s="23" t="str">
        <x:v>Borrower exists</x:v>
      </x:c>
      <x:c r="E17" s="23" t="str">
        <x:v>Search TST-221908.</x:v>
      </x:c>
      <x:c r="F17" s="23" t="str">
        <x:v>Only the synthetic borrower is returned.</x:v>
      </x:c>
      <x:c r="G17" s="23" t="str">
        <x:v>Synthetic borrower found successfully.</x:v>
      </x:c>
      <x:c r="H17" s="23" t="str">
        <x:v>PASS</x:v>
      </x:c>
      <x:c r="I17" s="23" t="str"/>
      <x:c r="J17" s="23" t="str">
        <x:v>Automated UI</x:v>
      </x:c>
      <x:c r="K17" s="23" t="str">
        <x:v>Borrower search</x:v>
      </x:c>
      <x:c r="L17" s="23" t="str"/>
    </x:row>
    <x:row r="18" ht="54" customHeight="1">
      <x:c r="A18" s="23" t="str">
        <x:v>BRW-007</x:v>
      </x:c>
      <x:c r="B18" s="23" t="str">
        <x:v>Borrowers</x:v>
      </x:c>
      <x:c r="C18" s="23" t="str">
        <x:v>Optional telephone blank behavior</x:v>
      </x:c>
      <x:c r="D18" s="23" t="str">
        <x:v>Fresh borrower form</x:v>
      </x:c>
      <x:c r="E18" s="23" t="str">
        <x:v>Create second borrower without telephone.</x:v>
      </x:c>
      <x:c r="F18" s="23" t="str">
        <x:v>Record saves if telephone is optional, or is clearly rejected if required.</x:v>
      </x:c>
      <x:c r="G18" s="23" t="str">
        <x:v>Not run; one synthetic borrower was sufficient for the executed suite.</x:v>
      </x:c>
      <x:c r="H18" s="23" t="str">
        <x:v>NOT RUN</x:v>
      </x:c>
      <x:c r="I18" s="23" t="str">
        <x:v>Low</x:v>
      </x:c>
      <x:c r="J18" s="23" t="str">
        <x:v>Deferred</x:v>
      </x:c>
      <x:c r="K18" s="23" t="str">
        <x:v>Manual follow-up</x:v>
      </x:c>
      <x:c r="L18" s="23" t="str"/>
    </x:row>
    <x:row r="19" ht="54" customHeight="1">
      <x:c r="A19" s="23" t="str">
        <x:v>BRW-008</x:v>
      </x:c>
      <x:c r="B19" s="23" t="str">
        <x:v>Borrowers</x:v>
      </x:c>
      <x:c r="C19" s="23" t="str">
        <x:v>Delete borrower with financial children</x:v>
      </x:c>
      <x:c r="D19" s="23" t="str">
        <x:v>Borrower has loans</x:v>
      </x:c>
      <x:c r="E19" s="23" t="str">
        <x:v>Attempt deletion and verify referential safeguard or auditable restriction.</x:v>
      </x:c>
      <x:c r="F19" s="23" t="str">
        <x:v>Financially linked borrower cannot be casually deleted.</x:v>
      </x:c>
      <x:c r="G19" s="23" t="str">
        <x:v>Not executed because destructive deletion requires an explicit controlled test decision.</x:v>
      </x:c>
      <x:c r="H19" s="23" t="str">
        <x:v>BLOCKED</x:v>
      </x:c>
      <x:c r="I19" s="23" t="str">
        <x:v>High</x:v>
      </x:c>
      <x:c r="J19" s="23" t="str">
        <x:v>Manual</x:v>
      </x:c>
      <x:c r="K19" s="23" t="str">
        <x:v>Destructive workflow</x:v>
      </x:c>
      <x:c r="L19" s="23" t="str"/>
    </x:row>
    <x:row r="20" ht="54" customHeight="1">
      <x:c r="A20" s="23" t="str">
        <x:v>LOAN-001</x:v>
      </x:c>
      <x:c r="B20" s="23" t="str">
        <x:v>Loans</x:v>
      </x:c>
      <x:c r="C20" s="23" t="str">
        <x:v>Required principal and type</x:v>
      </x:c>
      <x:c r="D20" s="23" t="str">
        <x:v>New loan form open</x:v>
      </x:c>
      <x:c r="E20" s="23" t="str">
        <x:v>Leave principal and loan type blank and save.</x:v>
      </x:c>
      <x:c r="F20" s="23" t="str">
        <x:v>Save is blocked.</x:v>
      </x:c>
      <x:c r="G20" s="23" t="str">
        <x:v>Both missing required inputs were flagged.</x:v>
      </x:c>
      <x:c r="H20" s="23" t="str">
        <x:v>PASS</x:v>
      </x:c>
      <x:c r="I20" s="23" t="str"/>
      <x:c r="J20" s="23" t="str">
        <x:v>Automated UI</x:v>
      </x:c>
      <x:c r="K20" s="23" t="str">
        <x:v>Loans form</x:v>
      </x:c>
      <x:c r="L20" s="23" t="str"/>
    </x:row>
    <x:row r="21" ht="54" customHeight="1">
      <x:c r="A21" s="23" t="str">
        <x:v>LOAN-002</x:v>
      </x:c>
      <x:c r="B21" s="23" t="str">
        <x:v>Loans</x:v>
      </x:c>
      <x:c r="C21" s="23" t="str">
        <x:v>Reject zero principal</x:v>
      </x:c>
      <x:c r="D21" s="23" t="str">
        <x:v>Daily-interest loan form</x:v>
      </x:c>
      <x:c r="E21" s="23" t="str">
        <x:v>Enter principal 0.</x:v>
      </x:c>
      <x:c r="F21" s="23" t="str">
        <x:v>Save is blocked; principal must be greater than zero.</x:v>
      </x:c>
      <x:c r="G21" s="23" t="str">
        <x:v>Thai greater-than-zero validation displayed.</x:v>
      </x:c>
      <x:c r="H21" s="23" t="str">
        <x:v>PASS</x:v>
      </x:c>
      <x:c r="I21" s="23" t="str"/>
      <x:c r="J21" s="23" t="str">
        <x:v>Automated UI</x:v>
      </x:c>
      <x:c r="K21" s="23" t="str">
        <x:v>Loans form</x:v>
      </x:c>
      <x:c r="L21" s="23" t="str"/>
    </x:row>
    <x:row r="22" ht="54" customHeight="1">
      <x:c r="A22" s="23" t="str">
        <x:v>LOAN-003</x:v>
      </x:c>
      <x:c r="B22" s="23" t="str">
        <x:v>Loans</x:v>
      </x:c>
      <x:c r="C22" s="23" t="str">
        <x:v>Reject negative principal</x:v>
      </x:c>
      <x:c r="D22" s="23" t="str">
        <x:v>Daily-interest loan form</x:v>
      </x:c>
      <x:c r="E22" s="23" t="str">
        <x:v>Enter principal -100.</x:v>
      </x:c>
      <x:c r="F22" s="23" t="str">
        <x:v>Save is blocked.</x:v>
      </x:c>
      <x:c r="G22" s="23" t="str">
        <x:v>Negative principal rejected.</x:v>
      </x:c>
      <x:c r="H22" s="23" t="str">
        <x:v>PASS</x:v>
      </x:c>
      <x:c r="I22" s="23" t="str"/>
      <x:c r="J22" s="23" t="str">
        <x:v>Automated UI</x:v>
      </x:c>
      <x:c r="K22" s="23" t="str">
        <x:v>Loans form</x:v>
      </x:c>
      <x:c r="L22" s="23" t="str"/>
    </x:row>
    <x:row r="23" ht="54" customHeight="1">
      <x:c r="A23" s="23" t="str">
        <x:v>LOAN-004</x:v>
      </x:c>
      <x:c r="B23" s="23" t="str">
        <x:v>Loans</x:v>
      </x:c>
      <x:c r="C23" s="23" t="str">
        <x:v>Reject negative transfer fee</x:v>
      </x:c>
      <x:c r="D23" s="23" t="str">
        <x:v>Daily-interest loan form</x:v>
      </x:c>
      <x:c r="E23" s="23" t="str">
        <x:v>Enter transfer fee -1.</x:v>
      </x:c>
      <x:c r="F23" s="23" t="str">
        <x:v>Save is blocked; fee must be at least zero.</x:v>
      </x:c>
      <x:c r="G23" s="23" t="str">
        <x:v>Negative transfer fee rejected.</x:v>
      </x:c>
      <x:c r="H23" s="23" t="str">
        <x:v>PASS</x:v>
      </x:c>
      <x:c r="I23" s="23" t="str"/>
      <x:c r="J23" s="23" t="str">
        <x:v>Automated UI</x:v>
      </x:c>
      <x:c r="K23" s="23" t="str">
        <x:v>Loans form</x:v>
      </x:c>
      <x:c r="L23" s="23" t="str"/>
    </x:row>
    <x:row r="24" ht="54" customHeight="1">
      <x:c r="A24" s="23" t="str">
        <x:v>LOAN-005</x:v>
      </x:c>
      <x:c r="B24" s="23" t="str">
        <x:v>Loans</x:v>
      </x:c>
      <x:c r="C24" s="23" t="str">
        <x:v>Reject zero daily interest</x:v>
      </x:c>
      <x:c r="D24" s="23" t="str">
        <x:v>Daily-interest loan form</x:v>
      </x:c>
      <x:c r="E24" s="23" t="str">
        <x:v>Enter current daily interest 0.</x:v>
      </x:c>
      <x:c r="F24" s="23" t="str">
        <x:v>Save is blocked.</x:v>
      </x:c>
      <x:c r="G24" s="23" t="str">
        <x:v>Generic invalid-value message displayed.</x:v>
      </x:c>
      <x:c r="H24" s="23" t="str">
        <x:v>PASS</x:v>
      </x:c>
      <x:c r="I24" s="23" t="str"/>
      <x:c r="J24" s="23" t="str">
        <x:v>Automated UI</x:v>
      </x:c>
      <x:c r="K24" s="23" t="str">
        <x:v>Loans form</x:v>
      </x:c>
      <x:c r="L24" s="23" t="str"/>
    </x:row>
    <x:row r="25" ht="54" customHeight="1">
      <x:c r="A25" s="23" t="str">
        <x:v>LOAN-006</x:v>
      </x:c>
      <x:c r="B25" s="23" t="str">
        <x:v>Loans</x:v>
      </x:c>
      <x:c r="C25" s="23" t="str">
        <x:v>Reject zero payment interval</x:v>
      </x:c>
      <x:c r="D25" s="23" t="str">
        <x:v>Daily-interest loan form</x:v>
      </x:c>
      <x:c r="E25" s="23" t="str">
        <x:v>Enter payment interval 0.</x:v>
      </x:c>
      <x:c r="F25" s="23" t="str">
        <x:v>Save is blocked.</x:v>
      </x:c>
      <x:c r="G25" s="23" t="str">
        <x:v>Generic invalid-value message displayed.</x:v>
      </x:c>
      <x:c r="H25" s="23" t="str">
        <x:v>PASS</x:v>
      </x:c>
      <x:c r="I25" s="23" t="str"/>
      <x:c r="J25" s="23" t="str">
        <x:v>Automated UI</x:v>
      </x:c>
      <x:c r="K25" s="23" t="str">
        <x:v>Loans form</x:v>
      </x:c>
      <x:c r="L25" s="23" t="str"/>
    </x:row>
    <x:row r="26" ht="54" customHeight="1">
      <x:c r="A26" s="23" t="str">
        <x:v>LOAN-007</x:v>
      </x:c>
      <x:c r="B26" s="23" t="str">
        <x:v>Loans</x:v>
      </x:c>
      <x:c r="C26" s="23" t="str">
        <x:v>Create valid daily-interest loan</x:v>
      </x:c>
      <x:c r="D26" s="23" t="str">
        <x:v>Valid borrower and values</x:v>
      </x:c>
      <x:c r="E26" s="23" t="str">
        <x:v>Create principal 1,000; daily interest 10; interval 1.</x:v>
      </x:c>
      <x:c r="F26" s="23" t="str">
        <x:v>Loan saves as active with outstanding principal 1,000.</x:v>
      </x:c>
      <x:c r="G26" s="23" t="str">
        <x:v>Loan saved; initial outstanding principal was 1,000.</x:v>
      </x:c>
      <x:c r="H26" s="23" t="str">
        <x:v>PASS</x:v>
      </x:c>
      <x:c r="I26" s="23" t="str"/>
      <x:c r="J26" s="23" t="str">
        <x:v>Automated UI</x:v>
      </x:c>
      <x:c r="K26" s="23" t="str">
        <x:v>Loan detail</x:v>
      </x:c>
      <x:c r="L26" s="23" t="str"/>
    </x:row>
    <x:row r="27" ht="54" customHeight="1">
      <x:c r="A27" s="23" t="str">
        <x:v>LOAN-008</x:v>
      </x:c>
      <x:c r="B27" s="23" t="str">
        <x:v>Loans</x:v>
      </x:c>
      <x:c r="C27" s="23" t="str">
        <x:v>Create first-day charge automatically</x:v>
      </x:c>
      <x:c r="D27" s="23" t="str">
        <x:v>Valid daily loan created</x:v>
      </x:c>
      <x:c r="E27" s="23" t="str">
        <x:v>Inspect related charges after save.</x:v>
      </x:c>
      <x:c r="F27" s="23" t="str">
        <x:v>One first-day charge for interest 10 is created once.</x:v>
      </x:c>
      <x:c r="G27" s="23" t="str">
        <x:v>Exactly one related first-day charge appeared.</x:v>
      </x:c>
      <x:c r="H27" s="23" t="str">
        <x:v>PASS</x:v>
      </x:c>
      <x:c r="I27" s="23" t="str"/>
      <x:c r="J27" s="23" t="str">
        <x:v>Automated UI</x:v>
      </x:c>
      <x:c r="K27" s="23" t="str">
        <x:v>Create First-Day Charge bot</x:v>
      </x:c>
      <x:c r="L27" s="23" t="str"/>
    </x:row>
    <x:row r="28" ht="54" customHeight="1">
      <x:c r="A28" s="23" t="str">
        <x:v>LOAN-009</x:v>
      </x:c>
      <x:c r="B28" s="23" t="str">
        <x:v>Loans</x:v>
      </x:c>
      <x:c r="C28" s="23" t="str">
        <x:v>Auto-receive first-day charge</x:v>
      </x:c>
      <x:c r="D28" s="23" t="str">
        <x:v>First-day charge exists</x:v>
      </x:c>
      <x:c r="E28" s="23" t="str">
        <x:v>Inspect related repayments and totals.</x:v>
      </x:c>
      <x:c r="F28" s="23" t="str">
        <x:v>A matching receipt is created once and charge is paid.</x:v>
      </x:c>
      <x:c r="G28" s="23" t="str">
        <x:v>Interest 10 was received automatically; charge showed paid.</x:v>
      </x:c>
      <x:c r="H28" s="23" t="str">
        <x:v>PASS</x:v>
      </x:c>
      <x:c r="I28" s="23" t="str"/>
      <x:c r="J28" s="23" t="str">
        <x:v>Automated UI</x:v>
      </x:c>
      <x:c r="K28" s="23" t="str">
        <x:v>Auto Receive First-Day Charge bot</x:v>
      </x:c>
      <x:c r="L28" s="23" t="str"/>
    </x:row>
    <x:row r="29" ht="54" customHeight="1">
      <x:c r="A29" s="23" t="str">
        <x:v>LOAN-010</x:v>
      </x:c>
      <x:c r="B29" s="23" t="str">
        <x:v>Loans</x:v>
      </x:c>
      <x:c r="C29" s="23" t="str">
        <x:v>Daily-loan initial reconciliation</x:v>
      </x:c>
      <x:c r="D29" s="23" t="str">
        <x:v>Daily loan created</x:v>
      </x:c>
      <x:c r="E29" s="23" t="str">
        <x:v>Compare principal, receipts and outstanding balance.</x:v>
      </x:c>
      <x:c r="F29" s="23" t="str">
        <x:v>Outstanding = 1,000 - 0 principal received.</x:v>
      </x:c>
      <x:c r="G29" s="23" t="str">
        <x:v>Displayed outstanding principal 1,000 before close action.</x:v>
      </x:c>
      <x:c r="H29" s="23" t="str">
        <x:v>PASS</x:v>
      </x:c>
      <x:c r="I29" s="23" t="str"/>
      <x:c r="J29" s="23" t="str">
        <x:v>Reconciliation</x:v>
      </x:c>
      <x:c r="K29" s="23" t="str">
        <x:v>Loan statistics</x:v>
      </x:c>
      <x:c r="L29" s="23" t="str"/>
    </x:row>
    <x:row r="30" ht="54" customHeight="1">
      <x:c r="A30" s="23" t="str">
        <x:v>LOAN-011</x:v>
      </x:c>
      <x:c r="B30" s="23" t="str">
        <x:v>Loans</x:v>
      </x:c>
      <x:c r="C30" s="23" t="str">
        <x:v>Reject fixed due date equal to loan date</x:v>
      </x:c>
      <x:c r="D30" s="23" t="str">
        <x:v>Fixed-term loan form</x:v>
      </x:c>
      <x:c r="E30" s="23" t="str">
        <x:v>Set due date equal to loan date.</x:v>
      </x:c>
      <x:c r="F30" s="23" t="str">
        <x:v>Save is blocked.</x:v>
      </x:c>
      <x:c r="G30" s="23" t="str">
        <x:v>Invalid-value message displayed.</x:v>
      </x:c>
      <x:c r="H30" s="23" t="str">
        <x:v>PASS</x:v>
      </x:c>
      <x:c r="I30" s="23" t="str"/>
      <x:c r="J30" s="23" t="str">
        <x:v>Automated UI</x:v>
      </x:c>
      <x:c r="K30" s="23" t="str">
        <x:v>Loans form</x:v>
      </x:c>
      <x:c r="L30" s="23" t="str"/>
    </x:row>
    <x:row r="31" ht="54" customHeight="1">
      <x:c r="A31" s="23" t="str">
        <x:v>LOAN-012</x:v>
      </x:c>
      <x:c r="B31" s="23" t="str">
        <x:v>Loans</x:v>
      </x:c>
      <x:c r="C31" s="23" t="str">
        <x:v>Reject zero fixed interest</x:v>
      </x:c>
      <x:c r="D31" s="23" t="str">
        <x:v>Fixed-term loan form</x:v>
      </x:c>
      <x:c r="E31" s="23" t="str">
        <x:v>Enter fixed interest 0.</x:v>
      </x:c>
      <x:c r="F31" s="23" t="str">
        <x:v>Save is blocked.</x:v>
      </x:c>
      <x:c r="G31" s="23" t="str">
        <x:v>Invalid-value message displayed.</x:v>
      </x:c>
      <x:c r="H31" s="23" t="str">
        <x:v>PASS</x:v>
      </x:c>
      <x:c r="I31" s="23" t="str"/>
      <x:c r="J31" s="23" t="str">
        <x:v>Automated UI</x:v>
      </x:c>
      <x:c r="K31" s="23" t="str">
        <x:v>Loans form</x:v>
      </x:c>
      <x:c r="L31" s="23" t="str"/>
    </x:row>
    <x:row r="32" ht="54" customHeight="1">
      <x:c r="A32" s="23" t="str">
        <x:v>LOAN-013</x:v>
      </x:c>
      <x:c r="B32" s="23" t="str">
        <x:v>Loans</x:v>
      </x:c>
      <x:c r="C32" s="23" t="str">
        <x:v>Create valid fixed-term loan</x:v>
      </x:c>
      <x:c r="D32" s="23" t="str">
        <x:v>Valid borrower and values</x:v>
      </x:c>
      <x:c r="E32" s="23" t="str">
        <x:v>Create principal 2,000; due 2026-08-31; interest 200; fee 5.</x:v>
      </x:c>
      <x:c r="F32" s="23" t="str">
        <x:v>Loan saves active with correct displayed fields.</x:v>
      </x:c>
      <x:c r="G32" s="23" t="str">
        <x:v>Loan saved with fixed interest 200, fee 5 and 2,000 principal.</x:v>
      </x:c>
      <x:c r="H32" s="23" t="str">
        <x:v>PASS</x:v>
      </x:c>
      <x:c r="I32" s="23" t="str"/>
      <x:c r="J32" s="23" t="str">
        <x:v>Automated UI</x:v>
      </x:c>
      <x:c r="K32" s="23" t="str">
        <x:v>Loan detail</x:v>
      </x:c>
      <x:c r="L32" s="23" t="str"/>
    </x:row>
    <x:row r="33" ht="54" customHeight="1">
      <x:c r="A33" s="23" t="str">
        <x:v>LOAN-014</x:v>
      </x:c>
      <x:c r="B33" s="23" t="str">
        <x:v>Loans</x:v>
      </x:c>
      <x:c r="C33" s="23" t="str">
        <x:v>Create fixed-term due charge by schedule</x:v>
      </x:c>
      <x:c r="D33" s="23" t="str">
        <x:v>Fixed loan exists; clone is prototype</x:v>
      </x:c>
      <x:c r="E33" s="23" t="str">
        <x:v>Wait for Daily 00:05 schedule.</x:v>
      </x:c>
      <x:c r="F33" s="23" t="str">
        <x:v>Scheduled bot creates due charge exactly once.</x:v>
      </x:c>
      <x:c r="G33" s="23" t="str">
        <x:v>Runtime blocked because scheduled events run only for deployed apps; manual charge simulation used.</x:v>
      </x:c>
      <x:c r="H33" s="23" t="str">
        <x:v>BLOCKED</x:v>
      </x:c>
      <x:c r="I33" s="23" t="str">
        <x:v>High</x:v>
      </x:c>
      <x:c r="J33" s="23" t="str">
        <x:v>Configuration</x:v>
      </x:c>
      <x:c r="K33" s="23" t="str">
        <x:v>Prototype deployment warning</x:v>
      </x:c>
      <x:c r="L33" s="23" t="str"/>
    </x:row>
    <x:row r="34" ht="54" customHeight="1">
      <x:c r="A34" s="23" t="str">
        <x:v>LOAN-015</x:v>
      </x:c>
      <x:c r="B34" s="23" t="str">
        <x:v>Loans</x:v>
      </x:c>
      <x:c r="C34" s="23" t="str">
        <x:v>Allow early payment of future fixed charge</x:v>
      </x:c>
      <x:c r="D34" s="23" t="str">
        <x:v>Future-dated synthetic charge exists</x:v>
      </x:c>
      <x:c r="E34" s="23" t="str">
        <x:v>Invoke full receipt before due date.</x:v>
      </x:c>
      <x:c r="F34" s="23" t="str">
        <x:v>Behavior follows defined policy and remains auditable.</x:v>
      </x:c>
      <x:c r="G34" s="23" t="str">
        <x:v>Payment before due date was accepted; no rule in the app prohibits early settlement.</x:v>
      </x:c>
      <x:c r="H34" s="23" t="str">
        <x:v>OBSERVATION</x:v>
      </x:c>
      <x:c r="I34" s="23" t="str">
        <x:v>Low</x:v>
      </x:c>
      <x:c r="J34" s="23" t="str">
        <x:v>Automated UI</x:v>
      </x:c>
      <x:c r="K34" s="23" t="str">
        <x:v>Future charge payment</x:v>
      </x:c>
      <x:c r="L34" s="23" t="str">
        <x:v>F-006</x:v>
      </x:c>
    </x:row>
    <x:row r="35" ht="54" customHeight="1">
      <x:c r="A35" s="23" t="str">
        <x:v>LOAN-016</x:v>
      </x:c>
      <x:c r="B35" s="23" t="str">
        <x:v>Loans</x:v>
      </x:c>
      <x:c r="C35" s="23" t="str">
        <x:v>Auto-close fixed loan on full payment</x:v>
      </x:c>
      <x:c r="D35" s="23" t="str">
        <x:v>Fixed charge totals 2,200</x:v>
      </x:c>
      <x:c r="E35" s="23" t="str">
        <x:v>Receive principal 2,000 and interest 200.</x:v>
      </x:c>
      <x:c r="F35" s="23" t="str">
        <x:v>Outstanding becomes 0 and loan closes once.</x:v>
      </x:c>
      <x:c r="G35" s="23" t="str">
        <x:v>Loan status Closed; end date 2026-08-30; totals 2,000 principal and 200 interest.</x:v>
      </x:c>
      <x:c r="H35" s="23" t="str">
        <x:v>PASS</x:v>
      </x:c>
      <x:c r="I35" s="23" t="str"/>
      <x:c r="J35" s="23" t="str">
        <x:v>Automated UI</x:v>
      </x:c>
      <x:c r="K35" s="23" t="str">
        <x:v>Loan detail reconciliation</x:v>
      </x:c>
      <x:c r="L35" s="23" t="str"/>
    </x:row>
    <x:row r="36" ht="54" customHeight="1">
      <x:c r="A36" s="23" t="str">
        <x:v>LOAN-017</x:v>
      </x:c>
      <x:c r="B36" s="23" t="str">
        <x:v>Loans</x:v>
      </x:c>
      <x:c r="C36" s="23" t="str">
        <x:v>Close outstanding daily loan with final payment</x:v>
      </x:c>
      <x:c r="D36" s="23" t="str">
        <x:v>Daily loan outstanding 1,000</x:v>
      </x:c>
      <x:c r="E36" s="23" t="str">
        <x:v>Use Close Loan and confirm.</x:v>
      </x:c>
      <x:c r="F36" s="23" t="str">
        <x:v>Final principal receipt is created, charge updated and loan closes.</x:v>
      </x:c>
      <x:c r="G36" s="23" t="str">
        <x:v>Charge became 1,010 total; principal receipt 1,000 created; outstanding 0; status Closed.</x:v>
      </x:c>
      <x:c r="H36" s="23" t="str">
        <x:v>PASS</x:v>
      </x:c>
      <x:c r="I36" s="23" t="str"/>
      <x:c r="J36" s="23" t="str">
        <x:v>Automated UI</x:v>
      </x:c>
      <x:c r="K36" s="23" t="str">
        <x:v>Close Loan action</x:v>
      </x:c>
      <x:c r="L36" s="23" t="str"/>
    </x:row>
    <x:row r="37" ht="54" customHeight="1">
      <x:c r="A37" s="23" t="str">
        <x:v>LOAN-018</x:v>
      </x:c>
      <x:c r="B37" s="23" t="str">
        <x:v>Loans</x:v>
      </x:c>
      <x:c r="C37" s="23" t="str">
        <x:v>Protect status/default fields from ordinary edit</x:v>
      </x:c>
      <x:c r="D37" s="23" t="str">
        <x:v>Active loan detail</x:v>
      </x:c>
      <x:c r="E37" s="23" t="str">
        <x:v>Open Edit and inspect editable fields.</x:v>
      </x:c>
      <x:c r="F37" s="23" t="str">
        <x:v>Loan Status, Defaulted and Default Loss are not editable in ordinary form.</x:v>
      </x:c>
      <x:c r="G37" s="23" t="str">
        <x:v>Financial-state fields were absent from editable controls.</x:v>
      </x:c>
      <x:c r="H37" s="23" t="str">
        <x:v>PASS</x:v>
      </x:c>
      <x:c r="I37" s="23" t="str"/>
      <x:c r="J37" s="23" t="str">
        <x:v>Automated UI</x:v>
      </x:c>
      <x:c r="K37" s="23" t="str">
        <x:v>Loan edit form</x:v>
      </x:c>
      <x:c r="L37" s="23" t="str"/>
    </x:row>
    <x:row r="38" ht="54" customHeight="1">
      <x:c r="A38" s="23" t="str">
        <x:v>LOAN-019</x:v>
      </x:c>
      <x:c r="B38" s="23" t="str">
        <x:v>Loans</x:v>
      </x:c>
      <x:c r="C38" s="23" t="str">
        <x:v>Require borrower on global Add Loan path</x:v>
      </x:c>
      <x:c r="D38" s="23" t="str">
        <x:v>Loans view available</x:v>
      </x:c>
      <x:c r="E38" s="23" t="str">
        <x:v>Use global Add; enter valid financial fields; save without borrower.</x:v>
      </x:c>
      <x:c r="F38" s="23" t="str">
        <x:v>Save is blocked because Ref Borrowers is required.</x:v>
      </x:c>
      <x:c r="G38" s="23" t="str">
        <x:v>An active 1,500 loan saved with no borrower; form did not expose a borrower field.</x:v>
      </x:c>
      <x:c r="H38" s="23" t="str">
        <x:v>FAIL</x:v>
      </x:c>
      <x:c r="I38" s="23" t="str">
        <x:v>High</x:v>
      </x:c>
      <x:c r="J38" s="23" t="str">
        <x:v>Automated UI</x:v>
      </x:c>
      <x:c r="K38" s="23" t="str">
        <x:v>Orphan loan visible under blank group</x:v>
      </x:c>
      <x:c r="L38" s="23" t="str">
        <x:v>F-001</x:v>
      </x:c>
    </x:row>
    <x:row r="39" ht="54" customHeight="1">
      <x:c r="A39" s="23" t="str">
        <x:v>LOAN-020</x:v>
      </x:c>
      <x:c r="B39" s="23" t="str">
        <x:v>Loans</x:v>
      </x:c>
      <x:c r="C39" s="23" t="str">
        <x:v>Include orphan financial records in collections controls</x:v>
      </x:c>
      <x:c r="D39" s="23" t="str">
        <x:v>Orphan loan and past-due charge exist</x:v>
      </x:c>
      <x:c r="E39" s="23" t="str">
        <x:v>Open Daily Collection board.</x:v>
      </x:c>
      <x:c r="F39" s="23" t="str">
        <x:v>All financial obligations are traceable to a governed borrower or surfaced as an exception.</x:v>
      </x:c>
      <x:c r="G39" s="23" t="str">
        <x:v>Orphan loan/charge did not appear in collection board.</x:v>
      </x:c>
      <x:c r="H39" s="23" t="str">
        <x:v>FAIL</x:v>
      </x:c>
      <x:c r="I39" s="23" t="str">
        <x:v>High</x:v>
      </x:c>
      <x:c r="J39" s="23" t="str">
        <x:v>Automated UI</x:v>
      </x:c>
      <x:c r="K39" s="23" t="str">
        <x:v>Collection board omission</x:v>
      </x:c>
      <x:c r="L39" s="23" t="str">
        <x:v>F-001</x:v>
      </x:c>
    </x:row>
    <x:row r="40" ht="54" customHeight="1">
      <x:c r="A40" s="23" t="str">
        <x:v>LOAN-021</x:v>
      </x:c>
      <x:c r="B40" s="23" t="str">
        <x:v>Loans</x:v>
      </x:c>
      <x:c r="C40" s="23" t="str">
        <x:v>Default workflow</x:v>
      </x:c>
      <x:c r="D40" s="23" t="str">
        <x:v>Active synthetic loan with balance</x:v>
      </x:c>
      <x:c r="E40" s="23" t="str">
        <x:v>Locate and execute supported Default Loan action.</x:v>
      </x:c>
      <x:c r="F40" s="23" t="str">
        <x:v>Loan closes as default with loss amount equal to governed outstanding principal.</x:v>
      </x:c>
      <x:c r="G40" s="23" t="str">
        <x:v>No default action was exposed in the tested runtime surface; direct source edits were not used.</x:v>
      </x:c>
      <x:c r="H40" s="23" t="str">
        <x:v>BLOCKED</x:v>
      </x:c>
      <x:c r="I40" s="23" t="str">
        <x:v>High</x:v>
      </x:c>
      <x:c r="J40" s="23" t="str">
        <x:v>Manual</x:v>
      </x:c>
      <x:c r="K40" s="23" t="str">
        <x:v>Requires confirmed default workflow</x:v>
      </x:c>
      <x:c r="L40" s="23" t="str"/>
    </x:row>
    <x:row r="41" ht="54" customHeight="1">
      <x:c r="A41" s="23" t="str">
        <x:v>CHG-001</x:v>
      </x:c>
      <x:c r="B41" s="23" t="str">
        <x:v>Charges</x:v>
      </x:c>
      <x:c r="C41" s="23" t="str">
        <x:v>Reject zero-value charge</x:v>
      </x:c>
      <x:c r="D41" s="23" t="str">
        <x:v>Synthetic fixed loan</x:v>
      </x:c>
      <x:c r="E41" s="23" t="str">
        <x:v>Create charge with principal due 0 and interest due 0.</x:v>
      </x:c>
      <x:c r="F41" s="23" t="str">
        <x:v>Save is blocked because amount due must be positive.</x:v>
      </x:c>
      <x:c r="G41" s="23" t="str">
        <x:v>Zero-value charge saved successfully.</x:v>
      </x:c>
      <x:c r="H41" s="23" t="str">
        <x:v>FAIL</x:v>
      </x:c>
      <x:c r="I41" s="23" t="str">
        <x:v>Medium</x:v>
      </x:c>
      <x:c r="J41" s="23" t="str">
        <x:v>Automated UI</x:v>
      </x:c>
      <x:c r="K41" s="23" t="str">
        <x:v>Charge detail</x:v>
      </x:c>
      <x:c r="L41" s="23" t="str">
        <x:v>F-002</x:v>
      </x:c>
    </x:row>
    <x:row r="42" ht="54" customHeight="1">
      <x:c r="A42" s="23" t="str">
        <x:v>CHG-002</x:v>
      </x:c>
      <x:c r="B42" s="23" t="str">
        <x:v>Charges</x:v>
      </x:c>
      <x:c r="C42" s="23" t="str">
        <x:v>Reject negative charge components</x:v>
      </x:c>
      <x:c r="D42" s="23" t="str">
        <x:v>Synthetic active loan</x:v>
      </x:c>
      <x:c r="E42" s="23" t="str">
        <x:v>Enter principal due -1 and interest due -1 and save.</x:v>
      </x:c>
      <x:c r="F42" s="23" t="str">
        <x:v>Save is blocked.</x:v>
      </x:c>
      <x:c r="G42" s="23" t="str">
        <x:v>Negative charge saved successfully.</x:v>
      </x:c>
      <x:c r="H42" s="23" t="str">
        <x:v>FAIL</x:v>
      </x:c>
      <x:c r="I42" s="23" t="str">
        <x:v>High</x:v>
      </x:c>
      <x:c r="J42" s="23" t="str">
        <x:v>Automated UI</x:v>
      </x:c>
      <x:c r="K42" s="23" t="str">
        <x:v>Charge detail</x:v>
      </x:c>
      <x:c r="L42" s="23" t="str">
        <x:v>F-003</x:v>
      </x:c>
    </x:row>
    <x:row r="43" ht="54" customHeight="1">
      <x:c r="A43" s="23" t="str">
        <x:v>CHG-003</x:v>
      </x:c>
      <x:c r="B43" s="23" t="str">
        <x:v>Charges</x:v>
      </x:c>
      <x:c r="C43" s="23" t="str">
        <x:v>Prevent negative amount due</x:v>
      </x:c>
      <x:c r="D43" s="23" t="str">
        <x:v>Negative component test</x:v>
      </x:c>
      <x:c r="E43" s="23" t="str">
        <x:v>Inspect derived Amount Due.</x:v>
      </x:c>
      <x:c r="F43" s="23" t="str">
        <x:v>Amount Due cannot be negative.</x:v>
      </x:c>
      <x:c r="G43" s="23" t="str">
        <x:v>Charge detail displayed Amount Due -2 while list card displayed 0 and remaining -2.</x:v>
      </x:c>
      <x:c r="H43" s="23" t="str">
        <x:v>FAIL</x:v>
      </x:c>
      <x:c r="I43" s="23" t="str">
        <x:v>High</x:v>
      </x:c>
      <x:c r="J43" s="23" t="str">
        <x:v>Reconciliation</x:v>
      </x:c>
      <x:c r="K43" s="23" t="str">
        <x:v>Inconsistent negative display</x:v>
      </x:c>
      <x:c r="L43" s="23" t="str">
        <x:v>F-003</x:v>
      </x:c>
    </x:row>
    <x:row r="44" ht="54" customHeight="1">
      <x:c r="A44" s="23" t="str">
        <x:v>CHG-004</x:v>
      </x:c>
      <x:c r="B44" s="23" t="str">
        <x:v>Charges</x:v>
      </x:c>
      <x:c r="C44" s="23" t="str">
        <x:v>Negative-charge receipt action behavior</x:v>
      </x:c>
      <x:c r="D44" s="23" t="str">
        <x:v>Negative charge exists</x:v>
      </x:c>
      <x:c r="E44" s="23" t="str">
        <x:v>Invoke Receive Payment.</x:v>
      </x:c>
      <x:c r="F44" s="23" t="str">
        <x:v>Invalid charge cannot expose payment action; or action must fail clearly.</x:v>
      </x:c>
      <x:c r="G44" s="23" t="str">
        <x:v>Receive action remained exposed but produced no payment or error message.</x:v>
      </x:c>
      <x:c r="H44" s="23" t="str">
        <x:v>FAIL</x:v>
      </x:c>
      <x:c r="I44" s="23" t="str">
        <x:v>Medium</x:v>
      </x:c>
      <x:c r="J44" s="23" t="str">
        <x:v>Automated UI</x:v>
      </x:c>
      <x:c r="K44" s="23" t="str">
        <x:v>Silent no-op</x:v>
      </x:c>
      <x:c r="L44" s="23" t="str">
        <x:v>F-003</x:v>
      </x:c>
    </x:row>
    <x:row r="45" ht="54" customHeight="1">
      <x:c r="A45" s="23" t="str">
        <x:v>CHG-005</x:v>
      </x:c>
      <x:c r="B45" s="23" t="str">
        <x:v>Charges</x:v>
      </x:c>
      <x:c r="C45" s="23" t="str">
        <x:v>Create past-due charge</x:v>
      </x:c>
      <x:c r="D45" s="23" t="str">
        <x:v>Synthetic active loan</x:v>
      </x:c>
      <x:c r="E45" s="23" t="str">
        <x:v>Create interest-only 20 charge dated 2026-08-29.</x:v>
      </x:c>
      <x:c r="F45" s="23" t="str">
        <x:v>Charge saves with due date before as-of date.</x:v>
      </x:c>
      <x:c r="G45" s="23" t="str">
        <x:v>Past-due charge saved for overdue-state testing.</x:v>
      </x:c>
      <x:c r="H45" s="23" t="str">
        <x:v>PASS</x:v>
      </x:c>
      <x:c r="I45" s="23" t="str"/>
      <x:c r="J45" s="23" t="str">
        <x:v>Automated UI</x:v>
      </x:c>
      <x:c r="K45" s="23" t="str">
        <x:v>Charge form</x:v>
      </x:c>
      <x:c r="L45" s="23" t="str"/>
    </x:row>
    <x:row r="46" ht="54" customHeight="1">
      <x:c r="A46" s="23" t="str">
        <x:v>CHG-006</x:v>
      </x:c>
      <x:c r="B46" s="23" t="str">
        <x:v>Charges</x:v>
      </x:c>
      <x:c r="C46" s="23" t="str">
        <x:v>Classify unpaid past-due charge explicitly</x:v>
      </x:c>
      <x:c r="D46" s="23" t="str">
        <x:v>Past-due charge has no payments</x:v>
      </x:c>
      <x:c r="E46" s="23" t="str">
        <x:v>Inspect Payment Status on 2026-08-30.</x:v>
      </x:c>
      <x:c r="F46" s="23" t="str">
        <x:v>Status is Overdue/Delinquent or a clearly governed equivalent.</x:v>
      </x:c>
      <x:c r="G46" s="23" t="str">
        <x:v>Payment Status remained Pending Payment; overdue was not represented in this field.</x:v>
      </x:c>
      <x:c r="H46" s="23" t="str">
        <x:v>FAIL</x:v>
      </x:c>
      <x:c r="I46" s="23" t="str">
        <x:v>Medium</x:v>
      </x:c>
      <x:c r="J46" s="23" t="str">
        <x:v>Automated UI</x:v>
      </x:c>
      <x:c r="K46" s="23" t="str">
        <x:v>Charge status</x:v>
      </x:c>
      <x:c r="L46" s="23" t="str">
        <x:v>F-004</x:v>
      </x:c>
    </x:row>
    <x:row r="47" ht="54" customHeight="1">
      <x:c r="A47" s="23" t="str">
        <x:v>CHG-007</x:v>
      </x:c>
      <x:c r="B47" s="23" t="str">
        <x:v>Charges</x:v>
      </x:c>
      <x:c r="C47" s="23" t="str">
        <x:v>Partial payment state</x:v>
      </x:c>
      <x:c r="D47" s="23" t="str">
        <x:v>Past-due charge 20</x:v>
      </x:c>
      <x:c r="E47" s="23" t="str">
        <x:v>Pay interest 5.</x:v>
      </x:c>
      <x:c r="F47" s="23" t="str">
        <x:v>Status becomes Partial Payment; remaining amount 15.</x:v>
      </x:c>
      <x:c r="G47" s="23" t="str">
        <x:v>Status became Partial Payment.</x:v>
      </x:c>
      <x:c r="H47" s="23" t="str">
        <x:v>PASS</x:v>
      </x:c>
      <x:c r="I47" s="23" t="str"/>
      <x:c r="J47" s="23" t="str">
        <x:v>Automated UI</x:v>
      </x:c>
      <x:c r="K47" s="23" t="str">
        <x:v>Charge detail</x:v>
      </x:c>
      <x:c r="L47" s="23" t="str"/>
    </x:row>
    <x:row r="48" ht="54" customHeight="1">
      <x:c r="A48" s="23" t="str">
        <x:v>CHG-008</x:v>
      </x:c>
      <x:c r="B48" s="23" t="str">
        <x:v>Charges</x:v>
      </x:c>
      <x:c r="C48" s="23" t="str">
        <x:v>Full payment state</x:v>
      </x:c>
      <x:c r="D48" s="23" t="str">
        <x:v>Past-due charge has 5 paid</x:v>
      </x:c>
      <x:c r="E48" s="23" t="str">
        <x:v>Pay remaining interest 15.</x:v>
      </x:c>
      <x:c r="F48" s="23" t="str">
        <x:v>Status becomes Payment Received and payment action disappears.</x:v>
      </x:c>
      <x:c r="G48" s="23" t="str">
        <x:v>Status became Payment Received; two receipts total 20.</x:v>
      </x:c>
      <x:c r="H48" s="23" t="str">
        <x:v>PASS</x:v>
      </x:c>
      <x:c r="I48" s="23" t="str"/>
      <x:c r="J48" s="23" t="str">
        <x:v>Automated UI</x:v>
      </x:c>
      <x:c r="K48" s="23" t="str">
        <x:v>Charge detail</x:v>
      </x:c>
      <x:c r="L48" s="23" t="str"/>
    </x:row>
    <x:row r="49" ht="54" customHeight="1">
      <x:c r="A49" s="23" t="str">
        <x:v>CHG-009</x:v>
      </x:c>
      <x:c r="B49" s="23" t="str">
        <x:v>Charges</x:v>
      </x:c>
      <x:c r="C49" s="23" t="str">
        <x:v>Principal due cannot exceed outstanding principal</x:v>
      </x:c>
      <x:c r="D49" s="23" t="str">
        <x:v>Active loan has governed balance</x:v>
      </x:c>
      <x:c r="E49" s="23" t="str">
        <x:v>Enter principal due greater than outstanding.</x:v>
      </x:c>
      <x:c r="F49" s="23" t="str">
        <x:v>Save is blocked or exception is clearly governed.</x:v>
      </x:c>
      <x:c r="G49" s="23" t="str">
        <x:v>Not run after high-severity negative-charge finding; requires dedicated remediation retest.</x:v>
      </x:c>
      <x:c r="H49" s="23" t="str">
        <x:v>NOT RUN</x:v>
      </x:c>
      <x:c r="I49" s="23" t="str">
        <x:v>High</x:v>
      </x:c>
      <x:c r="J49" s="23" t="str">
        <x:v>Deferred</x:v>
      </x:c>
      <x:c r="K49" s="23" t="str">
        <x:v>Boundary case</x:v>
      </x:c>
      <x:c r="L49" s="23" t="str"/>
    </x:row>
    <x:row r="50" ht="54" customHeight="1">
      <x:c r="A50" s="23" t="str">
        <x:v>PAY-001</x:v>
      </x:c>
      <x:c r="B50" s="23" t="str">
        <x:v>Payments</x:v>
      </x:c>
      <x:c r="C50" s="23" t="str">
        <x:v>Reject overpayment</x:v>
      </x:c>
      <x:c r="D50" s="23" t="str">
        <x:v>Charge has limited remaining amount</x:v>
      </x:c>
      <x:c r="E50" s="23" t="str">
        <x:v>Enter principal/interest exceeding remaining amount.</x:v>
      </x:c>
      <x:c r="F50" s="23" t="str">
        <x:v>Save is blocked with clear message.</x:v>
      </x:c>
      <x:c r="G50" s="23" t="str">
        <x:v>Bilingual over-remaining validation displayed.</x:v>
      </x:c>
      <x:c r="H50" s="23" t="str">
        <x:v>PASS</x:v>
      </x:c>
      <x:c r="I50" s="23" t="str"/>
      <x:c r="J50" s="23" t="str">
        <x:v>Automated UI</x:v>
      </x:c>
      <x:c r="K50" s="23" t="str">
        <x:v>Repayment form</x:v>
      </x:c>
      <x:c r="L50" s="23" t="str"/>
    </x:row>
    <x:row r="51" ht="54" customHeight="1">
      <x:c r="A51" s="23" t="str">
        <x:v>PAY-002</x:v>
      </x:c>
      <x:c r="B51" s="23" t="str">
        <x:v>Payments</x:v>
      </x:c>
      <x:c r="C51" s="23" t="str">
        <x:v>Negative interest adjustment</x:v>
      </x:c>
      <x:c r="D51" s="23" t="str">
        <x:v>Paid first-day charge exists</x:v>
      </x:c>
      <x:c r="E51" s="23" t="str">
        <x:v>Edit interest paid to -5.</x:v>
      </x:c>
      <x:c r="F51" s="23" t="str">
        <x:v>If allowed, financial adjustment is auditable and state is deterministic.</x:v>
      </x:c>
      <x:c r="G51" s="23" t="str">
        <x:v>Negative interest was allowed and reduced net collections; no dedicated adjustment type was visible.</x:v>
      </x:c>
      <x:c r="H51" s="23" t="str">
        <x:v>OBSERVATION</x:v>
      </x:c>
      <x:c r="I51" s="23" t="str">
        <x:v>Medium</x:v>
      </x:c>
      <x:c r="J51" s="23" t="str">
        <x:v>Automated UI</x:v>
      </x:c>
      <x:c r="K51" s="23" t="str">
        <x:v>Repayment edit</x:v>
      </x:c>
      <x:c r="L51" s="23" t="str">
        <x:v>F-005</x:v>
      </x:c>
    </x:row>
    <x:row r="52" ht="54" customHeight="1">
      <x:c r="A52" s="23" t="str">
        <x:v>PAY-003</x:v>
      </x:c>
      <x:c r="B52" s="23" t="str">
        <x:v>Payments</x:v>
      </x:c>
      <x:c r="C52" s="23" t="str">
        <x:v>Reject zero-value repayment</x:v>
      </x:c>
      <x:c r="D52" s="23" t="str">
        <x:v>Partially unpaid charge</x:v>
      </x:c>
      <x:c r="E52" s="23" t="str">
        <x:v>Use partial payment with principal 0 and interest 0.</x:v>
      </x:c>
      <x:c r="F52" s="23" t="str">
        <x:v>Save is blocked.</x:v>
      </x:c>
      <x:c r="G52" s="23" t="str">
        <x:v>Zero-value repayment saved successfully.</x:v>
      </x:c>
      <x:c r="H52" s="23" t="str">
        <x:v>FAIL</x:v>
      </x:c>
      <x:c r="I52" s="23" t="str">
        <x:v>Medium</x:v>
      </x:c>
      <x:c r="J52" s="23" t="str">
        <x:v>Automated UI</x:v>
      </x:c>
      <x:c r="K52" s="23" t="str">
        <x:v>Repayment list</x:v>
      </x:c>
      <x:c r="L52" s="23" t="str">
        <x:v>F-002</x:v>
      </x:c>
    </x:row>
    <x:row r="53" ht="54" customHeight="1">
      <x:c r="A53" s="23" t="str">
        <x:v>PAY-004</x:v>
      </x:c>
      <x:c r="B53" s="23" t="str">
        <x:v>Payments</x:v>
      </x:c>
      <x:c r="C53" s="23" t="str">
        <x:v>Net-zero state</x:v>
      </x:c>
      <x:c r="D53" s="23" t="str">
        <x:v>Charge includes -5 and +5 adjustments</x:v>
      </x:c>
      <x:c r="E53" s="23" t="str">
        <x:v>Inspect charge status.</x:v>
      </x:c>
      <x:c r="F53" s="23" t="str">
        <x:v>Total paid 0 yields Pending Payment.</x:v>
      </x:c>
      <x:c r="G53" s="23" t="str">
        <x:v>Status returned to Pending Payment.</x:v>
      </x:c>
      <x:c r="H53" s="23" t="str">
        <x:v>PASS</x:v>
      </x:c>
      <x:c r="I53" s="23" t="str"/>
      <x:c r="J53" s="23" t="str">
        <x:v>Reconciliation</x:v>
      </x:c>
      <x:c r="K53" s="23" t="str">
        <x:v>Charge state</x:v>
      </x:c>
      <x:c r="L53" s="23" t="str"/>
    </x:row>
    <x:row r="54" ht="54" customHeight="1">
      <x:c r="A54" s="23" t="str">
        <x:v>PAY-005</x:v>
      </x:c>
      <x:c r="B54" s="23" t="str">
        <x:v>Payments</x:v>
      </x:c>
      <x:c r="C54" s="23" t="str">
        <x:v>Partial state after net-positive payment</x:v>
      </x:c>
      <x:c r="D54" s="23" t="str">
        <x:v>Charge due 10</x:v>
      </x:c>
      <x:c r="E54" s="23" t="str">
        <x:v>Add payment 4 after net zero.</x:v>
      </x:c>
      <x:c r="F54" s="23" t="str">
        <x:v>Status becomes Partial Payment.</x:v>
      </x:c>
      <x:c r="G54" s="23" t="str">
        <x:v>Status became Partial Payment.</x:v>
      </x:c>
      <x:c r="H54" s="23" t="str">
        <x:v>PASS</x:v>
      </x:c>
      <x:c r="I54" s="23" t="str"/>
      <x:c r="J54" s="23" t="str">
        <x:v>Reconciliation</x:v>
      </x:c>
      <x:c r="K54" s="23" t="str">
        <x:v>Charge state</x:v>
      </x:c>
      <x:c r="L54" s="23" t="str"/>
    </x:row>
    <x:row r="55" ht="54" customHeight="1">
      <x:c r="A55" s="23" t="str">
        <x:v>PAY-006</x:v>
      </x:c>
      <x:c r="B55" s="23" t="str">
        <x:v>Payments</x:v>
      </x:c>
      <x:c r="C55" s="23" t="str">
        <x:v>Full state at exact total</x:v>
      </x:c>
      <x:c r="D55" s="23" t="str">
        <x:v>Charge due 10 and net paid 4</x:v>
      </x:c>
      <x:c r="E55" s="23" t="str">
        <x:v>Add payment 6.</x:v>
      </x:c>
      <x:c r="F55" s="23" t="str">
        <x:v>Status becomes Payment Received.</x:v>
      </x:c>
      <x:c r="G55" s="23" t="str">
        <x:v>Status became Payment Received.</x:v>
      </x:c>
      <x:c r="H55" s="23" t="str">
        <x:v>PASS</x:v>
      </x:c>
      <x:c r="I55" s="23" t="str"/>
      <x:c r="J55" s="23" t="str">
        <x:v>Reconciliation</x:v>
      </x:c>
      <x:c r="K55" s="23" t="str">
        <x:v>Charge state</x:v>
      </x:c>
      <x:c r="L55" s="23" t="str"/>
    </x:row>
    <x:row r="56" ht="54" customHeight="1">
      <x:c r="A56" s="23" t="str">
        <x:v>PAY-007</x:v>
      </x:c>
      <x:c r="B56" s="23" t="str">
        <x:v>Payments</x:v>
      </x:c>
      <x:c r="C56" s="23" t="str">
        <x:v>Prevent further payment after full receipt</x:v>
      </x:c>
      <x:c r="D56" s="23" t="str">
        <x:v>Charge fully paid</x:v>
      </x:c>
      <x:c r="E56" s="23" t="str">
        <x:v>Inspect available actions.</x:v>
      </x:c>
      <x:c r="F56" s="23" t="str">
        <x:v>Receive/partial action is absent.</x:v>
      </x:c>
      <x:c r="G56" s="23" t="str">
        <x:v>Payment actions disappeared after full receipt.</x:v>
      </x:c>
      <x:c r="H56" s="23" t="str">
        <x:v>PASS</x:v>
      </x:c>
      <x:c r="I56" s="23" t="str"/>
      <x:c r="J56" s="23" t="str">
        <x:v>Automated UI</x:v>
      </x:c>
      <x:c r="K56" s="23" t="str">
        <x:v>Action visibility</x:v>
      </x:c>
      <x:c r="L56" s="23" t="str"/>
    </x:row>
    <x:row r="57" ht="54" customHeight="1">
      <x:c r="A57" s="23" t="str">
        <x:v>PAY-008</x:v>
      </x:c>
      <x:c r="B57" s="23" t="str">
        <x:v>Payments</x:v>
      </x:c>
      <x:c r="C57" s="23" t="str">
        <x:v>Fixed-loan totals reconcile</x:v>
      </x:c>
      <x:c r="D57" s="23" t="str">
        <x:v>Fixed loan fully paid</x:v>
      </x:c>
      <x:c r="E57" s="23" t="str">
        <x:v>Compare principal, interest, total and outstanding.</x:v>
      </x:c>
      <x:c r="F57" s="23" t="str">
        <x:v>2,000 + 200 = 2,200 total; outstanding 0.</x:v>
      </x:c>
      <x:c r="G57" s="23" t="str">
        <x:v>Displayed totals reconciled exactly.</x:v>
      </x:c>
      <x:c r="H57" s="23" t="str">
        <x:v>PASS</x:v>
      </x:c>
      <x:c r="I57" s="23" t="str"/>
      <x:c r="J57" s="23" t="str">
        <x:v>Reconciliation</x:v>
      </x:c>
      <x:c r="K57" s="23" t="str">
        <x:v>Loan statistics</x:v>
      </x:c>
      <x:c r="L57" s="23" t="str"/>
    </x:row>
    <x:row r="58" ht="54" customHeight="1">
      <x:c r="A58" s="23" t="str">
        <x:v>PAY-009</x:v>
      </x:c>
      <x:c r="B58" s="23" t="str">
        <x:v>Payments</x:v>
      </x:c>
      <x:c r="C58" s="23" t="str">
        <x:v>Daily close totals reconcile</x:v>
      </x:c>
      <x:c r="D58" s="23" t="str">
        <x:v>Daily loan closed through Close Loan</x:v>
      </x:c>
      <x:c r="E58" s="23" t="str">
        <x:v>Compare charge and loan totals.</x:v>
      </x:c>
      <x:c r="F58" s="23" t="str">
        <x:v>1,000 principal + 10 interest = 1,010; outstanding 0.</x:v>
      </x:c>
      <x:c r="G58" s="23" t="str">
        <x:v>Displayed totals reconciled exactly.</x:v>
      </x:c>
      <x:c r="H58" s="23" t="str">
        <x:v>PASS</x:v>
      </x:c>
      <x:c r="I58" s="23" t="str"/>
      <x:c r="J58" s="23" t="str">
        <x:v>Reconciliation</x:v>
      </x:c>
      <x:c r="K58" s="23" t="str">
        <x:v>Loan statistics</x:v>
      </x:c>
      <x:c r="L58" s="23" t="str"/>
    </x:row>
    <x:row r="59" ht="54" customHeight="1">
      <x:c r="A59" s="23" t="str">
        <x:v>PAY-010</x:v>
      </x:c>
      <x:c r="B59" s="23" t="str">
        <x:v>Payments</x:v>
      </x:c>
      <x:c r="C59" s="23" t="str">
        <x:v>Delete/reverse posted repayment</x:v>
      </x:c>
      <x:c r="D59" s="23" t="str">
        <x:v>Posted synthetic repayment exists</x:v>
      </x:c>
      <x:c r="E59" s="23" t="str">
        <x:v>Use supported reversal/void process and inspect audit trail.</x:v>
      </x:c>
      <x:c r="F59" s="23" t="str">
        <x:v>No physical deletion; reversal is traceable.</x:v>
      </x:c>
      <x:c r="G59" s="23" t="str">
        <x:v>Not executed because no explicit reversal workflow was exposed and physical deletion is financially destructive.</x:v>
      </x:c>
      <x:c r="H59" s="23" t="str">
        <x:v>BLOCKED</x:v>
      </x:c>
      <x:c r="I59" s="23" t="str">
        <x:v>High</x:v>
      </x:c>
      <x:c r="J59" s="23" t="str">
        <x:v>Manual</x:v>
      </x:c>
      <x:c r="K59" s="23" t="str">
        <x:v>Requires approved reversal test</x:v>
      </x:c>
      <x:c r="L59" s="23" t="str"/>
    </x:row>
    <x:row r="60" ht="54" customHeight="1">
      <x:c r="A60" s="23" t="str">
        <x:v>PAY-011</x:v>
      </x:c>
      <x:c r="B60" s="23" t="str">
        <x:v>Payments</x:v>
      </x:c>
      <x:c r="C60" s="23" t="str">
        <x:v>Future payment date validation</x:v>
      </x:c>
      <x:c r="D60" s="23" t="str">
        <x:v>Open repayment form</x:v>
      </x:c>
      <x:c r="E60" s="23" t="str">
        <x:v>Enter a future payment date.</x:v>
      </x:c>
      <x:c r="F60" s="23" t="str">
        <x:v>Behavior follows documented posting policy.</x:v>
      </x:c>
      <x:c r="G60" s="23" t="str">
        <x:v>Not run; payment-date policy was not confirmed.</x:v>
      </x:c>
      <x:c r="H60" s="23" t="str">
        <x:v>NOT RUN</x:v>
      </x:c>
      <x:c r="I60" s="23" t="str">
        <x:v>Medium</x:v>
      </x:c>
      <x:c r="J60" s="23" t="str">
        <x:v>Deferred</x:v>
      </x:c>
      <x:c r="K60" s="23" t="str">
        <x:v>Policy clarification</x:v>
      </x:c>
      <x:c r="L60" s="23" t="str"/>
    </x:row>
    <x:row r="61" ht="54" customHeight="1">
      <x:c r="A61" s="23" t="str">
        <x:v>COL-001</x:v>
      </x:c>
      <x:c r="B61" s="23" t="str">
        <x:v>Collections</x:v>
      </x:c>
      <x:c r="C61" s="23" t="str">
        <x:v>Collection board opens and groups states</x:v>
      </x:c>
      <x:c r="D61" s="23" t="str">
        <x:v>Test clone synced</x:v>
      </x:c>
      <x:c r="E61" s="23" t="str">
        <x:v>Open Daily Collection Tracking view.</x:v>
      </x:c>
      <x:c r="F61" s="23" t="str">
        <x:v>Overdue and Fully Paid groups render with totals.</x:v>
      </x:c>
      <x:c r="G61" s="23" t="str">
        <x:v>Board loaded with both groups and aggregate totals.</x:v>
      </x:c>
      <x:c r="H61" s="23" t="str">
        <x:v>PASS</x:v>
      </x:c>
      <x:c r="I61" s="23" t="str"/>
      <x:c r="J61" s="23" t="str">
        <x:v>Automated UI</x:v>
      </x:c>
      <x:c r="K61" s="23" t="str">
        <x:v>Collection view</x:v>
      </x:c>
      <x:c r="L61" s="23" t="str"/>
    </x:row>
    <x:row r="62" ht="54" customHeight="1">
      <x:c r="A62" s="23" t="str">
        <x:v>COL-002</x:v>
      </x:c>
      <x:c r="B62" s="23" t="str">
        <x:v>Collections</x:v>
      </x:c>
      <x:c r="C62" s="23" t="str">
        <x:v>Synthetic borrower appears as fully paid</x:v>
      </x:c>
      <x:c r="D62" s="23" t="str">
        <x:v>Synthetic borrower loans closed</x:v>
      </x:c>
      <x:c r="E62" s="23" t="str">
        <x:v>Inspect Fully Paid group.</x:v>
      </x:c>
      <x:c r="F62" s="23" t="str">
        <x:v>Synthetic borrower is listed with collected amount and zero due.</x:v>
      </x:c>
      <x:c r="G62" s="23" t="str">
        <x:v>TST-221908-A appeared with 3,210 collected and 0 outstanding.</x:v>
      </x:c>
      <x:c r="H62" s="23" t="str">
        <x:v>PASS</x:v>
      </x:c>
      <x:c r="I62" s="23" t="str"/>
      <x:c r="J62" s="23" t="str">
        <x:v>Automated UI</x:v>
      </x:c>
      <x:c r="K62" s="23" t="str">
        <x:v>Collection view</x:v>
      </x:c>
      <x:c r="L62" s="23" t="str"/>
    </x:row>
    <x:row r="63" ht="54" customHeight="1">
      <x:c r="A63" s="23" t="str">
        <x:v>COL-003</x:v>
      </x:c>
      <x:c r="B63" s="23" t="str">
        <x:v>Collections</x:v>
      </x:c>
      <x:c r="C63" s="23" t="str">
        <x:v>Existing overdue grouping remains populated</x:v>
      </x:c>
      <x:c r="D63" s="23" t="str">
        <x:v>Cloned baseline data</x:v>
      </x:c>
      <x:c r="E63" s="23" t="str">
        <x:v>Inspect Overdue group without changing production.</x:v>
      </x:c>
      <x:c r="F63" s="23" t="str">
        <x:v>Existing cloned overdue records appear and totals render.</x:v>
      </x:c>
      <x:c r="G63" s="23" t="str">
        <x:v>Overdue group displayed cloned baseline records and 7,600 outstanding.</x:v>
      </x:c>
      <x:c r="H63" s="23" t="str">
        <x:v>PASS</x:v>
      </x:c>
      <x:c r="I63" s="23" t="str"/>
      <x:c r="J63" s="23" t="str">
        <x:v>Automated UI</x:v>
      </x:c>
      <x:c r="K63" s="23" t="str">
        <x:v>Collection view; names redacted from report</x:v>
      </x:c>
      <x:c r="L63" s="23" t="str"/>
    </x:row>
    <x:row r="64" ht="54" customHeight="1">
      <x:c r="A64" s="23" t="str">
        <x:v>COL-004</x:v>
      </x:c>
      <x:c r="B64" s="23" t="str">
        <x:v>Collections</x:v>
      </x:c>
      <x:c r="C64" s="23" t="str">
        <x:v>Orphan exception visibility</x:v>
      </x:c>
      <x:c r="D64" s="23" t="str">
        <x:v>Orphan loan exists</x:v>
      </x:c>
      <x:c r="E64" s="23" t="str">
        <x:v>Search board for blank/orphan loan.</x:v>
      </x:c>
      <x:c r="F64" s="23" t="str">
        <x:v>Exception appears for remediation.</x:v>
      </x:c>
      <x:c r="G64" s="23" t="str">
        <x:v>No orphan/blank entry appeared.</x:v>
      </x:c>
      <x:c r="H64" s="23" t="str">
        <x:v>FAIL</x:v>
      </x:c>
      <x:c r="I64" s="23" t="str">
        <x:v>High</x:v>
      </x:c>
      <x:c r="J64" s="23" t="str">
        <x:v>Automated UI</x:v>
      </x:c>
      <x:c r="K64" s="23" t="str">
        <x:v>Collection omission</x:v>
      </x:c>
      <x:c r="L64" s="23" t="str">
        <x:v>F-001</x:v>
      </x:c>
    </x:row>
    <x:row r="65" ht="54" customHeight="1">
      <x:c r="A65" s="23" t="str">
        <x:v>AUTO-001</x:v>
      </x:c>
      <x:c r="B65" s="23" t="str">
        <x:v>Automation</x:v>
      </x:c>
      <x:c r="C65" s="23" t="str">
        <x:v>Create First-Day Charge bot exists</x:v>
      </x:c>
      <x:c r="D65" s="23" t="str">
        <x:v>Clone editor available</x:v>
      </x:c>
      <x:c r="E65" s="23" t="str">
        <x:v>Inspect automation list and event.</x:v>
      </x:c>
      <x:c r="F65" s="23" t="str">
        <x:v>Bot is present on Loans new-record event.</x:v>
      </x:c>
      <x:c r="G65" s="23" t="str">
        <x:v>Bot present and executed once in functional test.</x:v>
      </x:c>
      <x:c r="H65" s="23" t="str">
        <x:v>PASS</x:v>
      </x:c>
      <x:c r="I65" s="23" t="str"/>
      <x:c r="J65" s="23" t="str">
        <x:v>Configuration</x:v>
      </x:c>
      <x:c r="K65" s="23" t="str">
        <x:v>Automation editor</x:v>
      </x:c>
      <x:c r="L65" s="23" t="str"/>
    </x:row>
    <x:row r="66" ht="54" customHeight="1">
      <x:c r="A66" s="23" t="str">
        <x:v>AUTO-002</x:v>
      </x:c>
      <x:c r="B66" s="23" t="str">
        <x:v>Automation</x:v>
      </x:c>
      <x:c r="C66" s="23" t="str">
        <x:v>Auto Receive First-Day Charge bot exists</x:v>
      </x:c>
      <x:c r="D66" s="23" t="str">
        <x:v>Clone editor available</x:v>
      </x:c>
      <x:c r="E66" s="23" t="str">
        <x:v>Inspect Charges automation.</x:v>
      </x:c>
      <x:c r="F66" s="23" t="str">
        <x:v>Bot exists and does not duplicate the initial receipt.</x:v>
      </x:c>
      <x:c r="G66" s="23" t="str">
        <x:v>Bot present; one initial receipt observed.</x:v>
      </x:c>
      <x:c r="H66" s="23" t="str">
        <x:v>PASS</x:v>
      </x:c>
      <x:c r="I66" s="23" t="str"/>
      <x:c r="J66" s="23" t="str">
        <x:v>Configuration</x:v>
      </x:c>
      <x:c r="K66" s="23" t="str">
        <x:v>Automation editor</x:v>
      </x:c>
      <x:c r="L66" s="23" t="str"/>
    </x:row>
    <x:row r="67" ht="54" customHeight="1">
      <x:c r="A67" s="23" t="str">
        <x:v>AUTO-003</x:v>
      </x:c>
      <x:c r="B67" s="23" t="str">
        <x:v>Automation</x:v>
      </x:c>
      <x:c r="C67" s="23" t="str">
        <x:v>Daily scheduled charge bot configuration</x:v>
      </x:c>
      <x:c r="D67" s="23" t="str">
        <x:v>Clone editor available</x:v>
      </x:c>
      <x:c r="E67" s="23" t="str">
        <x:v>Inspect Generate Daily Charges event.</x:v>
      </x:c>
      <x:c r="F67" s="23" t="str">
        <x:v>Daily 00:05 schedule and process are configured.</x:v>
      </x:c>
      <x:c r="G67" s="23" t="str">
        <x:v>Daily 00:05 and Generate Today's Charge were present.</x:v>
      </x:c>
      <x:c r="H67" s="23" t="str">
        <x:v>PASS</x:v>
      </x:c>
      <x:c r="I67" s="23" t="str"/>
      <x:c r="J67" s="23" t="str">
        <x:v>Configuration</x:v>
      </x:c>
      <x:c r="K67" s="23" t="str">
        <x:v>Automation editor</x:v>
      </x:c>
      <x:c r="L67" s="23" t="str"/>
    </x:row>
    <x:row r="68" ht="54" customHeight="1">
      <x:c r="A68" s="23" t="str">
        <x:v>AUTO-004</x:v>
      </x:c>
      <x:c r="B68" s="23" t="str">
        <x:v>Automation</x:v>
      </x:c>
      <x:c r="C68" s="23" t="str">
        <x:v>Daily scheduled bot runtime</x:v>
      </x:c>
      <x:c r="D68" s="23" t="str">
        <x:v>Clone remains prototype</x:v>
      </x:c>
      <x:c r="E68" s="23" t="str">
        <x:v>Allow scheduled event to trigger.</x:v>
      </x:c>
      <x:c r="F68" s="23" t="str">
        <x:v>Exactly one eligible charge is produced, with idempotency protection.</x:v>
      </x:c>
      <x:c r="G68" s="23" t="str">
        <x:v>Blocked: AppSheet states scheduled event triggers only when app is deployed.</x:v>
      </x:c>
      <x:c r="H68" s="23" t="str">
        <x:v>BLOCKED</x:v>
      </x:c>
      <x:c r="I68" s="23" t="str">
        <x:v>High</x:v>
      </x:c>
      <x:c r="J68" s="23" t="str">
        <x:v>Manual</x:v>
      </x:c>
      <x:c r="K68" s="23" t="str">
        <x:v>Do not deploy without approval</x:v>
      </x:c>
      <x:c r="L68" s="23" t="str"/>
    </x:row>
    <x:row r="69" ht="54" customHeight="1">
      <x:c r="A69" s="23" t="str">
        <x:v>AUTO-005</x:v>
      </x:c>
      <x:c r="B69" s="23" t="str">
        <x:v>Automation</x:v>
      </x:c>
      <x:c r="C69" s="23" t="str">
        <x:v>Notification delivery</x:v>
      </x:c>
      <x:c r="D69" s="23" t="str">
        <x:v>Synthetic loan create/close</x:v>
      </x:c>
      <x:c r="E69" s="23" t="str">
        <x:v>Verify intended recipient, redaction and single delivery.</x:v>
      </x:c>
      <x:c r="F69" s="23" t="str">
        <x:v>Only approved test recipient receives one notification.</x:v>
      </x:c>
      <x:c r="G69" s="23" t="str">
        <x:v>Not executed to avoid sending live notifications.</x:v>
      </x:c>
      <x:c r="H69" s="23" t="str">
        <x:v>BLOCKED</x:v>
      </x:c>
      <x:c r="I69" s="23" t="str">
        <x:v>High</x:v>
      </x:c>
      <x:c r="J69" s="23" t="str">
        <x:v>Manual</x:v>
      </x:c>
      <x:c r="K69" s="23" t="str">
        <x:v>Explicit approval required</x:v>
      </x:c>
      <x:c r="L69" s="23" t="str"/>
    </x:row>
    <x:row r="70" ht="54" customHeight="1">
      <x:c r="A70" s="23" t="str">
        <x:v>UX-001</x:v>
      </x:c>
      <x:c r="B70" s="23" t="str">
        <x:v>UX / Sync</x:v>
      </x:c>
      <x:c r="C70" s="23" t="str">
        <x:v>Manual sync completes</x:v>
      </x:c>
      <x:c r="D70" s="23" t="str">
        <x:v>Synthetic changes pending</x:v>
      </x:c>
      <x:c r="E70" s="23" t="str">
        <x:v>Wait for or trigger sync.</x:v>
      </x:c>
      <x:c r="F70" s="23" t="str">
        <x:v>Sync completes with no pending-change indicator.</x:v>
      </x:c>
      <x:c r="G70" s="23" t="str">
        <x:v>Sync completed successfully after transactions.</x:v>
      </x:c>
      <x:c r="H70" s="23" t="str">
        <x:v>PASS</x:v>
      </x:c>
      <x:c r="I70" s="23" t="str"/>
      <x:c r="J70" s="23" t="str">
        <x:v>Automated UI</x:v>
      </x:c>
      <x:c r="K70" s="23" t="str">
        <x:v>App banner</x:v>
      </x:c>
      <x:c r="L70" s="23" t="str"/>
    </x:row>
    <x:row r="71" ht="54" customHeight="1">
      <x:c r="A71" s="23" t="str">
        <x:v>UX-002</x:v>
      </x:c>
      <x:c r="B71" s="23" t="str">
        <x:v>UX / Sync</x:v>
      </x:c>
      <x:c r="C71" s="23" t="str">
        <x:v>Mobile layout smoke test</x:v>
      </x:c>
      <x:c r="D71" s="23" t="str">
        <x:v>Editor simulator available</x:v>
      </x:c>
      <x:c r="E71" s="23" t="str">
        <x:v>Switch simulator to Mobile.</x:v>
      </x:c>
      <x:c r="F71" s="23" t="str">
        <x:v>Primary navigation and dashboard remain available.</x:v>
      </x:c>
      <x:c r="G71" s="23" t="str">
        <x:v>Overview and Collection navigation rendered in Mobile simulator.</x:v>
      </x:c>
      <x:c r="H71" s="23" t="str">
        <x:v>PASS</x:v>
      </x:c>
      <x:c r="I71" s="23" t="str"/>
      <x:c r="J71" s="23" t="str">
        <x:v>Configuration</x:v>
      </x:c>
      <x:c r="K71" s="23" t="str">
        <x:v>Mobile simulator</x:v>
      </x:c>
      <x:c r="L71" s="23" t="str"/>
    </x:row>
    <x:row r="72" ht="54" customHeight="1">
      <x:c r="A72" s="23" t="str">
        <x:v>UX-003</x:v>
      </x:c>
      <x:c r="B72" s="23" t="str">
        <x:v>UX / Sync</x:v>
      </x:c>
      <x:c r="C72" s="23" t="str">
        <x:v>Tablet layout smoke test</x:v>
      </x:c>
      <x:c r="D72" s="23" t="str">
        <x:v>Editor simulator available</x:v>
      </x:c>
      <x:c r="E72" s="23" t="str">
        <x:v>Switch simulator to Tablet.</x:v>
      </x:c>
      <x:c r="F72" s="23" t="str">
        <x:v>Primary navigation and dashboard remain available.</x:v>
      </x:c>
      <x:c r="G72" s="23" t="str">
        <x:v>Overview and Collection navigation rendered in Tablet simulator.</x:v>
      </x:c>
      <x:c r="H72" s="23" t="str">
        <x:v>PASS</x:v>
      </x:c>
      <x:c r="I72" s="23" t="str"/>
      <x:c r="J72" s="23" t="str">
        <x:v>Configuration</x:v>
      </x:c>
      <x:c r="K72" s="23" t="str">
        <x:v>Tablet simulator</x:v>
      </x:c>
      <x:c r="L72" s="23" t="str"/>
    </x:row>
    <x:row r="73" ht="54" customHeight="1">
      <x:c r="A73" s="23" t="str">
        <x:v>UX-004</x:v>
      </x:c>
      <x:c r="B73" s="23" t="str">
        <x:v>UX / Sync</x:v>
      </x:c>
      <x:c r="C73" s="23" t="str">
        <x:v>Offline create and conflict resolution</x:v>
      </x:c>
      <x:c r="D73" s="23" t="str">
        <x:v>Supported mobile client and offline policy</x:v>
      </x:c>
      <x:c r="E73" s="23" t="str">
        <x:v>Create/edit synthetic records offline, reconnect and reconcile.</x:v>
      </x:c>
      <x:c r="F73" s="23" t="str">
        <x:v>No duplicate or lost financial record; conflict is deterministic.</x:v>
      </x:c>
      <x:c r="G73" s="23" t="str">
        <x:v>Not run in desktop web test environment.</x:v>
      </x:c>
      <x:c r="H73" s="23" t="str">
        <x:v>BLOCKED</x:v>
      </x:c>
      <x:c r="I73" s="23" t="str">
        <x:v>High</x:v>
      </x:c>
      <x:c r="J73" s="23" t="str">
        <x:v>Manual</x:v>
      </x:c>
      <x:c r="K73" s="23" t="str">
        <x:v>Requires device/offline test</x:v>
      </x:c>
      <x:c r="L73" s="23" t="str"/>
    </x:row>
    <x:row r="74" ht="54" customHeight="1">
      <x:c r="A74" s="23" t="str">
        <x:v>SEC-001</x:v>
      </x:c>
      <x:c r="B74" s="23" t="str">
        <x:v>Security</x:v>
      </x:c>
      <x:c r="C74" s="23" t="str">
        <x:v>Role and row-level access</x:v>
      </x:c>
      <x:c r="D74" s="23" t="str">
        <x:v>Multiple approved test identities</x:v>
      </x:c>
      <x:c r="E74" s="23" t="str">
        <x:v>Exercise owner/operator/read-only roles.</x:v>
      </x:c>
      <x:c r="F74" s="23" t="str">
        <x:v>Least privilege and intended row visibility are enforced.</x:v>
      </x:c>
      <x:c r="G74" s="23" t="str">
        <x:v>Not run because only the current owner identity was available.</x:v>
      </x:c>
      <x:c r="H74" s="23" t="str">
        <x:v>BLOCKED</x:v>
      </x:c>
      <x:c r="I74" s="23" t="str">
        <x:v>High</x:v>
      </x:c>
      <x:c r="J74" s="23" t="str">
        <x:v>Manual</x:v>
      </x:c>
      <x:c r="K74" s="23" t="str">
        <x:v>Requires approved test accounts</x:v>
      </x:c>
      <x:c r="L74" s="23" t="str"/>
    </x:row>
    <x:row r="75" ht="54" customHeight="1">
      <x:c r="A75" s="23" t="str">
        <x:v>SEC-002</x:v>
      </x:c>
      <x:c r="B75" s="23" t="str">
        <x:v>Security</x:v>
      </x:c>
      <x:c r="C75" s="23" t="str">
        <x:v>Production remains unchanged</x:v>
      </x:c>
      <x:c r="D75" s="23" t="str">
        <x:v>Synthetic prefix used</x:v>
      </x:c>
      <x:c r="E75" s="23" t="str">
        <x:v>Verify production database and app state.</x:v>
      </x:c>
      <x:c r="F75" s="23" t="str">
        <x:v>No synthetic row or unsaved production editor change.</x:v>
      </x:c>
      <x:c r="G75" s="23" t="str">
        <x:v>Production database had no synthetic prefix; production editor had no unsaved change.</x:v>
      </x:c>
      <x:c r="H75" s="23" t="str">
        <x:v>PASS</x:v>
      </x:c>
      <x:c r="I75" s="23" t="str"/>
      <x:c r="J75" s="23" t="str">
        <x:v>Read-only verification</x:v>
      </x:c>
      <x:c r="K75" s="23" t="str">
        <x:v>Production comparison</x:v>
      </x:c>
      <x:c r="L75" s="23" t="str"/>
    </x:row>
    <x:row r="76" ht="54" customHeight="1">
      <x:c r="A76" s="23" t="str">
        <x:v>PERF-001</x:v>
      </x:c>
      <x:c r="B76" s="23" t="str">
        <x:v>Performance</x:v>
      </x:c>
      <x:c r="C76" s="23" t="str">
        <x:v>Core-view smoke performance</x:v>
      </x:c>
      <x:c r="D76" s="23" t="str">
        <x:v>Cloned baseline plus synthetic rows</x:v>
      </x:c>
      <x:c r="E76" s="23" t="str">
        <x:v>Open Overview, Collections, Borrowers and Loans.</x:v>
      </x:c>
      <x:c r="F76" s="23" t="str">
        <x:v>Views load without visible error or stalled sync.</x:v>
      </x:c>
      <x:c r="G76" s="23" t="str">
        <x:v>All core views loaded in the interactive test; no instrumented timing was captured.</x:v>
      </x:c>
      <x:c r="H76" s="23" t="str">
        <x:v>OBSERVATION</x:v>
      </x:c>
      <x:c r="I76" s="23" t="str">
        <x:v>Low</x:v>
      </x:c>
      <x:c r="J76" s="23" t="str">
        <x:v>Automated UI</x:v>
      </x:c>
      <x:c r="K76" s="23" t="str">
        <x:v>Functional smoke only</x:v>
      </x:c>
      <x:c r="L76" s="23" t="str"/>
    </x:row>
    <x:row r="77" ht="54" customHeight="1">
      <x:c r="A77" s="23" t="str">
        <x:v>GOV-001</x:v>
      </x:c>
      <x:c r="B77" s="23" t="str">
        <x:v>Governance</x:v>
      </x:c>
      <x:c r="C77" s="23" t="str">
        <x:v>No sensitive data in reports</x:v>
      </x:c>
      <x:c r="D77" s="23" t="str">
        <x:v>Reports being prepared</x:v>
      </x:c>
      <x:c r="E77" s="23" t="str">
        <x:v>Use synthetic identifiers and omit production names/phones/documents.</x:v>
      </x:c>
      <x:c r="F77" s="23" t="str">
        <x:v>Artifacts contain synthetic or redacted examples only.</x:v>
      </x:c>
      <x:c r="G77" s="23" t="str">
        <x:v>Implemented in report content.</x:v>
      </x:c>
      <x:c r="H77" s="23" t="str">
        <x:v>PASS</x:v>
      </x:c>
      <x:c r="I77" s="23" t="str"/>
      <x:c r="J77" s="23" t="str">
        <x:v>Documentation</x:v>
      </x:c>
      <x:c r="K77" s="23" t="str">
        <x:v>Privacy control</x:v>
      </x:c>
      <x:c r="L77" s="23" t="str"/>
    </x:row>
    <x:row r="78" ht="54" customHeight="1">
      <x:c r="A78" s="24" t="str">
        <x:v>GOV-002</x:v>
      </x:c>
      <x:c r="B78" s="24" t="str">
        <x:v>Governance</x:v>
      </x:c>
      <x:c r="C78" s="24" t="str">
        <x:v>No production deployment or notification</x:v>
      </x:c>
      <x:c r="D78" s="24" t="str">
        <x:v>Testing in clone</x:v>
      </x:c>
      <x:c r="E78" s="24" t="str">
        <x:v>Review activity log and scope.</x:v>
      </x:c>
      <x:c r="F78" s="24" t="str">
        <x:v>No deployment, dashboard publish, live alert or production record change.</x:v>
      </x:c>
      <x:c r="G78" s="24" t="str">
        <x:v>No such action was performed.</x:v>
      </x:c>
      <x:c r="H78" s="24" t="str">
        <x:v>PASS</x:v>
      </x:c>
      <x:c r="I78" s="24" t="str"/>
      <x:c r="J78" s="24" t="str">
        <x:v>Governance</x:v>
      </x:c>
      <x:c r="K78" s="24" t="str">
        <x:v>Scope control</x:v>
      </x:c>
      <x:c r="L78" s="24" t="str"/>
    </x:row>
  </x:sheetData>
  <x:mergeCells>
    <x:mergeCell ref="A1:L1"/>
    <x:mergeCell ref="A2:L2"/>
  </x:mergeCells>
  <x:conditionalFormatting sqref="H6:H7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2">
    <x:dataValidation type="list" sqref="H6:H78">
      <x:formula1>"PASS,FAIL,BLOCKED,NOT RUN,OBSERVATION"</x:formula1>
    </x:dataValidation>
    <x:dataValidation type="list" sqref="I6:I78">
      <x:formula1>",Low,Medium,High"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0" hidden="0" customWidth="1"/>
    <x:col min="5" max="5" width="42" hidden="0" customWidth="1"/>
    <x:col min="6" max="6" width="42" hidden="0" customWidth="1"/>
    <x:col min="7" max="7" width="52" hidden="0" customWidth="1"/>
    <x:col min="8" max="8" width="24" hidden="0" customWidth="1"/>
  </x:cols>
  <x:sheetData>
    <x:row r="1" ht="34" customHeight="1">
      <x:c r="A1" s="87" t="str">
        <x:v>FINDINGS AND REMEDIATION REGISTER</x:v>
      </x:c>
      <x:c r="B1" s="88"/>
      <x:c r="C1" s="88"/>
      <x:c r="D1" s="88"/>
      <x:c r="E1" s="88"/>
      <x:c r="F1" s="88"/>
      <x:c r="G1" s="88"/>
      <x:c r="H1" s="88"/>
    </x:row>
    <x:row r="2" ht="32" customHeight="1">
      <x:c r="A2" s="6" t="str">
        <x:v>Open items require owner decision, implementation in a new change task, backup/version capture, and targeted retesting.</x:v>
      </x:c>
      <x:c r="B2" s="6"/>
      <x:c r="C2" s="6"/>
      <x:c r="D2" s="6"/>
      <x:c r="E2" s="6"/>
      <x:c r="F2" s="6"/>
      <x:c r="G2" s="6"/>
      <x:c r="H2" s="6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8"/>
      <x:c r="B4" s="88"/>
      <x:c r="C4" s="88"/>
      <x:c r="D4" s="88"/>
      <x:c r="E4" s="88"/>
      <x:c r="F4" s="88"/>
      <x:c r="G4" s="88"/>
      <x:c r="H4" s="88"/>
    </x:row>
    <x:row r="5">
      <x:c r="A5" s="14" t="str">
        <x:v>Finding ID</x:v>
      </x:c>
      <x:c r="B5" s="14" t="str">
        <x:v>Severity</x:v>
      </x:c>
      <x:c r="C5" s="14" t="str">
        <x:v>Status</x:v>
      </x:c>
      <x:c r="D5" s="14" t="str">
        <x:v>Area</x:v>
      </x:c>
      <x:c r="E5" s="14" t="str">
        <x:v>Finding</x:v>
      </x:c>
      <x:c r="F5" s="14" t="str">
        <x:v>Business impact</x:v>
      </x:c>
      <x:c r="G5" s="14" t="str">
        <x:v>Recommended action</x:v>
      </x:c>
      <x:c r="H5" s="14" t="str">
        <x:v>Related cases</x:v>
      </x:c>
    </x:row>
    <x:row r="6" ht="70" customHeight="1">
      <x:c r="A6" s="22" t="str">
        <x:v>F-001</x:v>
      </x:c>
      <x:c r="B6" s="22" t="str">
        <x:v>High</x:v>
      </x:c>
      <x:c r="C6" s="22" t="str">
        <x:v>Open</x:v>
      </x:c>
      <x:c r="D6" s="22" t="str">
        <x:v>Loans / Collections</x:v>
      </x:c>
      <x:c r="E6" s="22" t="str">
        <x:v>Global Add Loan can create an active loan with no borrower reference.</x:v>
      </x:c>
      <x:c r="F6" s="22" t="str">
        <x:v>Orphan balances are excluded from borrower collection workflows and can undermine reconciliation and accountability.</x:v>
      </x:c>
      <x:c r="G6" s="22" t="str">
        <x:v>Make Ref Borrowers required at schema/form level on every add path; expose borrower selection on global Add; add an exception slice for any historical orphan; retest creation, collection board and KPIs.</x:v>
      </x:c>
      <x:c r="H6" s="22" t="str">
        <x:v>LOAN-019, LOAN-020, COL-004</x:v>
      </x:c>
    </x:row>
    <x:row r="7" ht="70" customHeight="1">
      <x:c r="A7" s="23" t="str">
        <x:v>F-002</x:v>
      </x:c>
      <x:c r="B7" s="23" t="str">
        <x:v>Medium</x:v>
      </x:c>
      <x:c r="C7" s="23" t="str">
        <x:v>Open</x:v>
      </x:c>
      <x:c r="D7" s="23" t="str">
        <x:v>Charges / Repayments</x:v>
      </x:c>
      <x:c r="E7" s="23" t="str">
        <x:v>Zero-value charges and zero-value repayments can be saved.</x:v>
      </x:c>
      <x:c r="F7" s="23" t="str">
        <x:v>Creates financially meaningless audit rows, increases duplicate/automation-loop risk and obscures real activity.</x:v>
      </x:c>
      <x:c r="G7" s="23" t="str">
        <x:v>Require Principal Due + Interest Due &gt; 0 and Principal Paid + Interest Paid &lt;&gt; 0 only through an explicit adjustment process; block ordinary zero rows.</x:v>
      </x:c>
      <x:c r="H7" s="23" t="str">
        <x:v>CHG-001, PAY-003</x:v>
      </x:c>
    </x:row>
    <x:row r="8" ht="70" customHeight="1">
      <x:c r="A8" s="23" t="str">
        <x:v>F-003</x:v>
      </x:c>
      <x:c r="B8" s="23" t="str">
        <x:v>High</x:v>
      </x:c>
      <x:c r="C8" s="23" t="str">
        <x:v>Open</x:v>
      </x:c>
      <x:c r="D8" s="23" t="str">
        <x:v>Charges</x:v>
      </x:c>
      <x:c r="E8" s="23" t="str">
        <x:v>Negative principal due and interest due are accepted; Amount Due becomes -2 and the receipt action silently no-ops.</x:v>
      </x:c>
      <x:c r="F8" s="23" t="str">
        <x:v>Invalid liabilities can enter the ledger, list/detail displays disagree, and the workflow becomes unrecoverable through normal payment actions.</x:v>
      </x:c>
      <x:c r="G8" s="23" t="str">
        <x:v>Require each due component &gt;= 0 and total due &gt; 0; hide actions for invalid legacy rows; add an exception report and controlled correction path.</x:v>
      </x:c>
      <x:c r="H8" s="23" t="str">
        <x:v>CHG-002, CHG-003, CHG-004</x:v>
      </x:c>
    </x:row>
    <x:row r="9" ht="70" customHeight="1">
      <x:c r="A9" s="23" t="str">
        <x:v>F-004</x:v>
      </x:c>
      <x:c r="B9" s="23" t="str">
        <x:v>Medium</x:v>
      </x:c>
      <x:c r="C9" s="23" t="str">
        <x:v>Open</x:v>
      </x:c>
      <x:c r="D9" s="23" t="str">
        <x:v>Charge status</x:v>
      </x:c>
      <x:c r="E9" s="23" t="str">
        <x:v>Past-due unpaid/partial charges remain Pending/Partial; overdue is not represented in Payment Status.</x:v>
      </x:c>
      <x:c r="F9" s="23" t="str">
        <x:v>Users can miss delinquency when viewing a charge directly, and downstream consumers may interpret status inconsistently.</x:v>
      </x:c>
      <x:c r="G9" s="23" t="str">
        <x:v>Define a governed as-of-date delinquency state or separate Overdue flag/bucket; document precedence with Paid/Partial; reconcile collection-board logic.</x:v>
      </x:c>
      <x:c r="H9" s="23" t="str">
        <x:v>CHG-006</x:v>
      </x:c>
    </x:row>
    <x:row r="10" ht="70" customHeight="1">
      <x:c r="A10" s="23" t="str">
        <x:v>F-005</x:v>
      </x:c>
      <x:c r="B10" s="23" t="str">
        <x:v>Medium</x:v>
      </x:c>
      <x:c r="C10" s="23" t="str">
        <x:v>Review</x:v>
      </x:c>
      <x:c r="D10" s="23" t="str">
        <x:v>Repayments / Adjustments</x:v>
      </x:c>
      <x:c r="E10" s="23" t="str">
        <x:v>Negative interest can be entered by editing an ordinary repayment without a dedicated adjustment/reversal type.</x:v>
      </x:c>
      <x:c r="F10" s="23" t="str">
        <x:v>If used for default or correction, reason, authorization and linkage to the original posting are not explicit.</x:v>
      </x:c>
      <x:c r="G10" s="23" t="str">
        <x:v>Confirm business intent. If adjustments are needed, use controlled type/reason/reference fields and restrict ordinary repayment edits.</x:v>
      </x:c>
      <x:c r="H10" s="23" t="str">
        <x:v>PAY-002</x:v>
      </x:c>
    </x:row>
    <x:row r="11" ht="70" customHeight="1">
      <x:c r="A11" s="24" t="str">
        <x:v>F-006</x:v>
      </x:c>
      <x:c r="B11" s="24" t="str">
        <x:v>Low</x:v>
      </x:c>
      <x:c r="C11" s="24" t="str">
        <x:v>Review</x:v>
      </x:c>
      <x:c r="D11" s="24" t="str">
        <x:v>Fixed-term loans</x:v>
      </x:c>
      <x:c r="E11" s="24" t="str">
        <x:v>Future-due fixed charge can be fully paid before its due date.</x:v>
      </x:c>
      <x:c r="F11" s="24" t="str">
        <x:v>May be correct, but early-payment policy and reporting basis must be explicit.</x:v>
      </x:c>
      <x:c r="G11" s="24" t="str">
        <x:v>Confirm policy; if prohibited, validate Payment Date &gt;= permitted date. If allowed, document as an accepted scenario.</x:v>
      </x:c>
      <x:c r="H11" s="24" t="str">
        <x:v>LOAN-015</x:v>
      </x:c>
    </x:row>
  </x:sheetData>
  <x:mergeCells>
    <x:mergeCell ref="A1:H1"/>
    <x:mergeCell ref="A2:H2"/>
  </x:mergeCells>
  <x:conditionalFormatting sqref="B6:B11">
    <x:cfRule type="containsText" dxfId="4" priority="1" operator="containsText" text="High"/>
    <x:cfRule type="containsText" dxfId="5" priority="2" operator="containsText" text="Medium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48" hidden="0" customWidth="1"/>
    <x:col min="5" max="5" width="36" hidden="0" customWidth="1"/>
  </x:cols>
  <x:sheetData>
    <x:row r="1" ht="34" customHeight="1">
      <x:c r="A1" s="87" t="str">
        <x:v>COVERAGE MATRIX</x:v>
      </x:c>
      <x:c r="B1" s="88"/>
      <x:c r="C1" s="88"/>
      <x:c r="D1" s="88"/>
      <x:c r="E1" s="88"/>
    </x:row>
    <x:row r="2" ht="32" customHeight="1">
      <x:c r="A2" s="6" t="str">
        <x:v>Coverage includes executed functional tests plus clearly identified blocked/deferred scenarios.</x:v>
      </x:c>
      <x:c r="B2" s="6"/>
      <x:c r="C2" s="6"/>
      <x:c r="D2" s="6"/>
      <x:c r="E2" s="6"/>
    </x:row>
    <x:row r="3">
      <x:c r="A3" s="88"/>
      <x:c r="B3" s="88"/>
      <x:c r="C3" s="88"/>
      <x:c r="D3" s="88"/>
      <x:c r="E3" s="88"/>
    </x:row>
    <x:row r="4">
      <x:c r="A4" s="88"/>
      <x:c r="B4" s="88"/>
      <x:c r="C4" s="88"/>
      <x:c r="D4" s="88"/>
      <x:c r="E4" s="88"/>
    </x:row>
    <x:row r="5">
      <x:c r="A5" s="14" t="str">
        <x:v>Domain</x:v>
      </x:c>
      <x:c r="B5" s="14" t="str">
        <x:v>Cases designed</x:v>
      </x:c>
      <x:c r="C5" s="14" t="str">
        <x:v>Coverage level</x:v>
      </x:c>
      <x:c r="D5" s="14" t="str">
        <x:v>What was covered</x:v>
      </x:c>
      <x:c r="E5" s="14" t="str">
        <x:v>Remaining limitation</x:v>
      </x:c>
    </x:row>
    <x:row r="6" ht="44" customHeight="1">
      <x:c r="A6" s="22" t="str">
        <x:v>Environment and isolation</x:v>
      </x:c>
      <x:c r="B6" s="84" t="n">
        <x:v>6</x:v>
      </x:c>
      <x:c r="C6" s="22" t="str">
        <x:v>Complete</x:v>
      </x:c>
      <x:c r="D6" s="22" t="str">
        <x:v>Clone IDs, table parity, prototype state, synthetic-only proof</x:v>
      </x:c>
      <x:c r="E6" s="22" t="str">
        <x:v>Targeted regression after any fix</x:v>
      </x:c>
    </x:row>
    <x:row r="7" ht="44" customHeight="1">
      <x:c r="A7" s="23" t="str">
        <x:v>Borrower lifecycle</x:v>
      </x:c>
      <x:c r="B7" s="85" t="n">
        <x:v>8</x:v>
      </x:c>
      <x:c r="C7" s="23" t="str">
        <x:v>Substantial</x:v>
      </x:c>
      <x:c r="D7" s="23" t="str">
        <x:v>Required field, create, search and duplicate controls; deletion deferred</x:v>
      </x:c>
      <x:c r="E7" s="23" t="str">
        <x:v>See Manual Follow-up sheet</x:v>
      </x:c>
    </x:row>
    <x:row r="8" ht="44" customHeight="1">
      <x:c r="A8" s="23" t="str">
        <x:v>Daily-interest loan</x:v>
      </x:c>
      <x:c r="B8" s="85" t="n">
        <x:v>10</x:v>
      </x:c>
      <x:c r="C8" s="23" t="str">
        <x:v>Complete for happy path</x:v>
      </x:c>
      <x:c r="D8" s="23" t="str">
        <x:v>Create, first-day automation, validation, close and reconciliation</x:v>
      </x:c>
      <x:c r="E8" s="23" t="str">
        <x:v>Targeted regression after any fix</x:v>
      </x:c>
    </x:row>
    <x:row r="9" ht="44" customHeight="1">
      <x:c r="A9" s="23" t="str">
        <x:v>Fixed-term loan</x:v>
      </x:c>
      <x:c r="B9" s="85" t="n">
        <x:v>7</x:v>
      </x:c>
      <x:c r="C9" s="23" t="str">
        <x:v>Substantial</x:v>
      </x:c>
      <x:c r="D9" s="23" t="str">
        <x:v>Form validation, early payment, close; schedule runtime blocked</x:v>
      </x:c>
      <x:c r="E9" s="23" t="str">
        <x:v>See Manual Follow-up sheet</x:v>
      </x:c>
    </x:row>
    <x:row r="10" ht="44" customHeight="1">
      <x:c r="A10" s="23" t="str">
        <x:v>Charges</x:v>
      </x:c>
      <x:c r="B10" s="85" t="n">
        <x:v>9</x:v>
      </x:c>
      <x:c r="C10" s="23" t="str">
        <x:v>Complete for tested boundaries</x:v>
      </x:c>
      <x:c r="D10" s="23" t="str">
        <x:v>Zero, negative, past-due, partial and paid states</x:v>
      </x:c>
      <x:c r="E10" s="23" t="str">
        <x:v>Targeted regression after any fix</x:v>
      </x:c>
    </x:row>
    <x:row r="11" ht="44" customHeight="1">
      <x:c r="A11" s="23" t="str">
        <x:v>Repayments</x:v>
      </x:c>
      <x:c r="B11" s="85" t="n">
        <x:v>11</x:v>
      </x:c>
      <x:c r="C11" s="23" t="str">
        <x:v>Substantial</x:v>
      </x:c>
      <x:c r="D11" s="23" t="str">
        <x:v>Overpay, zero, negative adjustment, net state and totals; reversal deferred</x:v>
      </x:c>
      <x:c r="E11" s="23" t="str">
        <x:v>See Manual Follow-up sheet</x:v>
      </x:c>
    </x:row>
    <x:row r="12" ht="44" customHeight="1">
      <x:c r="A12" s="23" t="str">
        <x:v>Collection tracking</x:v>
      </x:c>
      <x:c r="B12" s="85" t="n">
        <x:v>4</x:v>
      </x:c>
      <x:c r="C12" s="23" t="str">
        <x:v>Substantial</x:v>
      </x:c>
      <x:c r="D12" s="23" t="str">
        <x:v>Grouping, totals, synthetic borrower and orphan exception</x:v>
      </x:c>
      <x:c r="E12" s="23" t="str">
        <x:v>See Manual Follow-up sheet</x:v>
      </x:c>
    </x:row>
    <x:row r="13" ht="44" customHeight="1">
      <x:c r="A13" s="23" t="str">
        <x:v>Automations</x:v>
      </x:c>
      <x:c r="B13" s="85" t="n">
        <x:v>5</x:v>
      </x:c>
      <x:c r="C13" s="23" t="str">
        <x:v>Configuration only for schedule/notify</x:v>
      </x:c>
      <x:c r="D13" s="23" t="str">
        <x:v>Event bots exercised; schedule and notifications not run</x:v>
      </x:c>
      <x:c r="E13" s="23" t="str">
        <x:v>See Manual Follow-up sheet</x:v>
      </x:c>
    </x:row>
    <x:row r="14" ht="44" customHeight="1">
      <x:c r="A14" s="23" t="str">
        <x:v>Sync and responsive UI</x:v>
      </x:c>
      <x:c r="B14" s="85" t="n">
        <x:v>4</x:v>
      </x:c>
      <x:c r="C14" s="23" t="str">
        <x:v>Smoke</x:v>
      </x:c>
      <x:c r="D14" s="23" t="str">
        <x:v>Sync, mobile and tablet; offline deferred</x:v>
      </x:c>
      <x:c r="E14" s="23" t="str">
        <x:v>See Manual Follow-up sheet</x:v>
      </x:c>
    </x:row>
    <x:row r="15" ht="44" customHeight="1">
      <x:c r="A15" s="23" t="str">
        <x:v>Security and permissions</x:v>
      </x:c>
      <x:c r="B15" s="85" t="n">
        <x:v>2</x:v>
      </x:c>
      <x:c r="C15" s="23" t="str">
        <x:v>Limited</x:v>
      </x:c>
      <x:c r="D15" s="23" t="str">
        <x:v>Production isolation verified; multi-user roles deferred</x:v>
      </x:c>
      <x:c r="E15" s="23" t="str">
        <x:v>See Manual Follow-up sheet</x:v>
      </x:c>
    </x:row>
    <x:row r="16" ht="44" customHeight="1">
      <x:c r="A16" s="23" t="str">
        <x:v>Performance</x:v>
      </x:c>
      <x:c r="B16" s="85" t="n">
        <x:v>1</x:v>
      </x:c>
      <x:c r="C16" s="23" t="str">
        <x:v>Smoke</x:v>
      </x:c>
      <x:c r="D16" s="23" t="str">
        <x:v>Core views loaded; no instrumented load test</x:v>
      </x:c>
      <x:c r="E16" s="23" t="str">
        <x:v>See Manual Follow-up sheet</x:v>
      </x:c>
    </x:row>
    <x:row r="17" ht="44" customHeight="1">
      <x:c r="A17" s="24" t="str">
        <x:v>Governance and privacy</x:v>
      </x:c>
      <x:c r="B17" s="86" t="n">
        <x:v>2</x:v>
      </x:c>
      <x:c r="C17" s="24" t="str">
        <x:v>Complete</x:v>
      </x:c>
      <x:c r="D17" s="24" t="str">
        <x:v>No production writes/deployments and no PII in artifacts</x:v>
      </x:c>
      <x:c r="E17" s="24" t="str">
        <x:v>Targeted regression after any fix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36" hidden="0" customWidth="1"/>
    <x:col min="4" max="4" width="48" hidden="0" customWidth="1"/>
  </x:cols>
  <x:sheetData>
    <x:row r="1" ht="34" customHeight="1">
      <x:c r="A1" s="87" t="str">
        <x:v>TEST ENVIRONMENT AND CONTROL RECORD</x:v>
      </x:c>
      <x:c r="B1" s="88"/>
      <x:c r="C1" s="88"/>
      <x:c r="D1" s="88"/>
    </x:row>
    <x:row r="2" ht="32" customHeight="1">
      <x:c r="A2" s="6" t="str">
        <x:v>Identifiers are recorded for audit and rollback. No credentials or production personal data are included.</x:v>
      </x:c>
      <x:c r="B2" s="6"/>
      <x:c r="C2" s="6"/>
      <x:c r="D2" s="6"/>
    </x:row>
    <x:row r="3">
      <x:c r="A3" s="88"/>
      <x:c r="B3" s="88"/>
      <x:c r="C3" s="88"/>
      <x:c r="D3" s="88"/>
    </x:row>
    <x:row r="4">
      <x:c r="A4" s="88"/>
      <x:c r="B4" s="88"/>
      <x:c r="C4" s="88"/>
      <x:c r="D4" s="88"/>
    </x:row>
    <x:row r="5">
      <x:c r="A5" s="14" t="str">
        <x:v>Control</x:v>
      </x:c>
      <x:c r="B5" s="14" t="str">
        <x:v>Production</x:v>
      </x:c>
      <x:c r="C5" s="14" t="str">
        <x:v>Test clone</x:v>
      </x:c>
      <x:c r="D5" s="14" t="str">
        <x:v>Verification</x:v>
      </x:c>
    </x:row>
    <x:row r="6" ht="38" customHeight="1">
      <x:c r="A6" s="22" t="str">
        <x:v>App name</x:v>
      </x:c>
      <x:c r="B6" s="22" t="str">
        <x:v>Loan Manager ผู้จัดการสินเชื่อ</x:v>
      </x:c>
      <x:c r="C6" s="22" t="str">
        <x:v>OLTP DB TEST 20260830-221908</x:v>
      </x:c>
      <x:c r="D6" s="22" t="str">
        <x:v>Name shown in editor/client</x:v>
      </x:c>
    </x:row>
    <x:row r="7" ht="38" customHeight="1">
      <x:c r="A7" s="23" t="str">
        <x:v>App ID</x:v>
      </x:c>
      <x:c r="B7" s="23" t="str">
        <x:v>93844270-6aa5-420b-a960-bcdf08abd357</x:v>
      </x:c>
      <x:c r="C7" s="23" t="str">
        <x:v>fa3882d6-993d-450e-b7fc-15c3c7545263</x:v>
      </x:c>
      <x:c r="D7" s="23" t="str">
        <x:v>IDs are distinct</x:v>
      </x:c>
    </x:row>
    <x:row r="8" ht="38" customHeight="1">
      <x:c r="A8" s="23" t="str">
        <x:v>Rollback version</x:v>
      </x:c>
      <x:c r="B8" s="23" t="str">
        <x:v>2.200076</x:v>
      </x:c>
      <x:c r="C8" s="23" t="str">
        <x:v>Initial cloned state</x:v>
      </x:c>
      <x:c r="D8" s="23" t="str">
        <x:v>Recorded before test activity</x:v>
      </x:c>
    </x:row>
    <x:row r="9" ht="38" customHeight="1">
      <x:c r="A9" s="23" t="str">
        <x:v>Database name</x:v>
      </x:c>
      <x:c r="B9" s="23" t="str">
        <x:v>Money database</x:v>
      </x:c>
      <x:c r="C9" s="23" t="str">
        <x:v>Money DB TEST 20260830-221908</x:v>
      </x:c>
      <x:c r="D9" s="23" t="str">
        <x:v>Test source opened from cloned app</x:v>
      </x:c>
    </x:row>
    <x:row r="10" ht="38" customHeight="1">
      <x:c r="A10" s="23" t="str">
        <x:v>Database ID</x:v>
      </x:c>
      <x:c r="B10" s="23" t="str">
        <x:v>9Y5vh3TFzZ4sIe2JgNh4l0</x:v>
      </x:c>
      <x:c r="C10" s="23" t="str">
        <x:v>qlNWJ209fg40Mrk3sGqtwd</x:v>
      </x:c>
      <x:c r="D10" s="23" t="str">
        <x:v>IDs are distinct</x:v>
      </x:c>
    </x:row>
    <x:row r="11" ht="38" customHeight="1">
      <x:c r="A11" s="23" t="str">
        <x:v>Tables</x:v>
      </x:c>
      <x:c r="B11" s="23" t="str">
        <x:v>10</x:v>
      </x:c>
      <x:c r="C11" s="23" t="str">
        <x:v>10</x:v>
      </x:c>
      <x:c r="D11" s="23" t="str">
        <x:v>Borrowers, Loans, Repayments, Statistics, Charges, Partners, Cash Pool Contributions, Settlements, Loan Assessment, Daily Analytics</x:v>
      </x:c>
    </x:row>
    <x:row r="12" ht="38" customHeight="1">
      <x:c r="A12" s="23" t="str">
        <x:v>Borrower rows at isolation check</x:v>
      </x:c>
      <x:c r="B12" s="85" t="n">
        <x:v>17</x:v>
      </x:c>
      <x:c r="C12" s="85" t="n">
        <x:v>18</x:v>
      </x:c>
      <x:c r="D12" s="23" t="str">
        <x:v>Test has one synthetic borrower; production has none</x:v>
      </x:c>
    </x:row>
    <x:row r="13" ht="38" customHeight="1">
      <x:c r="A13" s="23" t="str">
        <x:v>Deployment</x:v>
      </x:c>
      <x:c r="B13" s="23" t="str">
        <x:v>Production app</x:v>
      </x:c>
      <x:c r="C13" s="23" t="str">
        <x:v>Prototype clone</x:v>
      </x:c>
      <x:c r="D13" s="23" t="str">
        <x:v>Clone intentionally not deployed</x:v>
      </x:c>
    </x:row>
    <x:row r="14" ht="38" customHeight="1">
      <x:c r="A14" s="23" t="str">
        <x:v>Scheduled runtime</x:v>
      </x:c>
      <x:c r="B14" s="23" t="str">
        <x:v>Operational per production configuration</x:v>
      </x:c>
      <x:c r="C14" s="23" t="str">
        <x:v>Disabled in prototype</x:v>
      </x:c>
      <x:c r="D14" s="23" t="str">
        <x:v>Daily 00:05 runtime not executed</x:v>
      </x:c>
    </x:row>
    <x:row r="15" ht="38" customHeight="1">
      <x:c r="A15" s="23" t="str">
        <x:v>Test data prefix</x:v>
      </x:c>
      <x:c r="B15" s="23" t="str">
        <x:v>None</x:v>
      </x:c>
      <x:c r="C15" s="23" t="str">
        <x:v>TST-221908</x:v>
      </x:c>
      <x:c r="D15" s="23" t="str">
        <x:v>Synthetic-only scope</x:v>
      </x:c>
    </x:row>
    <x:row r="16" ht="38" customHeight="1">
      <x:c r="A16" s="23" t="str">
        <x:v>Test date / time zone</x:v>
      </x:c>
      <x:c r="B16" s="23" t="str">
        <x:v>2026-08-30 / Asia-Singapore</x:v>
      </x:c>
      <x:c r="C16" s="23" t="str">
        <x:v>2026-08-30 / Asia-Singapore</x:v>
      </x:c>
      <x:c r="D16" s="23" t="str">
        <x:v>As-of date used for due-date scenarios</x:v>
      </x:c>
    </x:row>
    <x:row r="17" ht="38" customHeight="1">
      <x:c r="A17" s="24" t="str">
        <x:v>Production change result</x:v>
      </x:c>
      <x:c r="B17" s="24" t="str">
        <x:v>No synthetic data; no editor save</x:v>
      </x:c>
      <x:c r="C17" s="24" t="str">
        <x:v>Synthetic transactions only</x:v>
      </x:c>
      <x:c r="D17" s="24" t="str">
        <x:v>Isolation verified read-only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26" hidden="0" customWidth="1"/>
    <x:col min="5" max="5" width="30" hidden="0" customWidth="1"/>
    <x:col min="6" max="6" width="28" hidden="0" customWidth="1"/>
    <x:col min="7" max="7" width="16" hidden="0" customWidth="1"/>
    <x:col min="8" max="8" width="24" hidden="0" customWidth="1"/>
  </x:cols>
  <x:sheetData>
    <x:row r="1" ht="34" customHeight="1">
      <x:c r="A1" s="87" t="str">
        <x:v>SYNTHETIC TEST DATA</x:v>
      </x:c>
      <x:c r="B1" s="88"/>
      <x:c r="C1" s="88"/>
      <x:c r="D1" s="88"/>
      <x:c r="E1" s="88"/>
      <x:c r="F1" s="88"/>
      <x:c r="G1" s="88"/>
      <x:c r="H1" s="88"/>
    </x:row>
    <x:row r="2" ht="32" customHeight="1">
      <x:c r="A2" s="6" t="str">
        <x:v>All identifiers below are synthetic. No real borrower names, telephone numbers, bank data or documents are reproduced.</x:v>
      </x:c>
      <x:c r="B2" s="6"/>
      <x:c r="C2" s="6"/>
      <x:c r="D2" s="6"/>
      <x:c r="E2" s="6"/>
      <x:c r="F2" s="6"/>
      <x:c r="G2" s="6"/>
      <x:c r="H2" s="6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8"/>
      <x:c r="B4" s="88"/>
      <x:c r="C4" s="88"/>
      <x:c r="D4" s="88"/>
      <x:c r="E4" s="88"/>
      <x:c r="F4" s="88"/>
      <x:c r="G4" s="88"/>
      <x:c r="H4" s="88"/>
    </x:row>
    <x:row r="5">
      <x:c r="A5" s="14" t="str">
        <x:v>Object</x:v>
      </x:c>
      <x:c r="B5" s="14" t="str">
        <x:v>Synthetic identifier</x:v>
      </x:c>
      <x:c r="C5" s="14" t="str">
        <x:v>Key inputs</x:v>
      </x:c>
      <x:c r="D5" s="14" t="str">
        <x:v>Expected accounting</x:v>
      </x:c>
      <x:c r="E5" s="14" t="str">
        <x:v>Final / observed state</x:v>
      </x:c>
      <x:c r="F5" s="14" t="str">
        <x:v>Purpose</x:v>
      </x:c>
      <x:c r="G5" s="14" t="str">
        <x:v>Production present?</x:v>
      </x:c>
      <x:c r="H5" s="14" t="str">
        <x:v>Cleanup</x:v>
      </x:c>
    </x:row>
    <x:row r="6" ht="50" customHeight="1">
      <x:c r="A6" s="22" t="str">
        <x:v>Borrower</x:v>
      </x:c>
      <x:c r="B6" s="22" t="str">
        <x:v>TST-221908-A</x:v>
      </x:c>
      <x:c r="C6" s="22" t="str">
        <x:v>Phone 0000000000; synthetic description</x:v>
      </x:c>
      <x:c r="D6" s="22" t="str">
        <x:v>N/A</x:v>
      </x:c>
      <x:c r="E6" s="22" t="str">
        <x:v>Created; searchable</x:v>
      </x:c>
      <x:c r="F6" s="22" t="str">
        <x:v>Borrower validation and valid financial flows</x:v>
      </x:c>
      <x:c r="G6" s="22" t="str">
        <x:v>No</x:v>
      </x:c>
      <x:c r="H6" s="22" t="str">
        <x:v>Retain until acceptance, then delete clone</x:v>
      </x:c>
    </x:row>
    <x:row r="7" ht="50" customHeight="1">
      <x:c r="A7" s="23" t="str">
        <x:v>Daily loan</x:v>
      </x:c>
      <x:c r="B7" s="23" t="str">
        <x:v>TST-221908-A / 1,000</x:v>
      </x:c>
      <x:c r="C7" s="23" t="str">
        <x:v>Interest 10/day; interval 1; fee 0</x:v>
      </x:c>
      <x:c r="D7" s="23" t="str">
        <x:v>Final total 1,010</x:v>
      </x:c>
      <x:c r="E7" s="23" t="str">
        <x:v>Closed; principal 1,000; interest 10; outstanding 0</x:v>
      </x:c>
      <x:c r="F7" s="23" t="str">
        <x:v>Daily loan, bots, close action</x:v>
      </x:c>
      <x:c r="G7" s="23" t="str">
        <x:v>No</x:v>
      </x:c>
      <x:c r="H7" s="23" t="str">
        <x:v>Delete clone</x:v>
      </x:c>
    </x:row>
    <x:row r="8" ht="50" customHeight="1">
      <x:c r="A8" s="23" t="str">
        <x:v>Fixed loan</x:v>
      </x:c>
      <x:c r="B8" s="23" t="str">
        <x:v>TST-221908-A / 2,000</x:v>
      </x:c>
      <x:c r="C8" s="23" t="str">
        <x:v>Due 2026-08-31; interest 200; fee 5</x:v>
      </x:c>
      <x:c r="D8" s="23" t="str">
        <x:v>Final total 2,200</x:v>
      </x:c>
      <x:c r="E8" s="23" t="str">
        <x:v>Closed; outstanding 0</x:v>
      </x:c>
      <x:c r="F8" s="23" t="str">
        <x:v>Fixed validation and early payment</x:v>
      </x:c>
      <x:c r="G8" s="23" t="str">
        <x:v>No</x:v>
      </x:c>
      <x:c r="H8" s="23" t="str">
        <x:v>Delete clone</x:v>
      </x:c>
    </x:row>
    <x:row r="9" ht="50" customHeight="1">
      <x:c r="A9" s="23" t="str">
        <x:v>Orphan loan</x:v>
      </x:c>
      <x:c r="B9" s="23" t="str">
        <x:v>Blank borrower / 1,500</x:v>
      </x:c>
      <x:c r="C9" s="23" t="str">
        <x:v>Interest 15/day; interval 1</x:v>
      </x:c>
      <x:c r="D9" s="23" t="str">
        <x:v>Should not exist</x:v>
      </x:c>
      <x:c r="E9" s="23" t="str">
        <x:v>Active, no borrower</x:v>
      </x:c>
      <x:c r="F9" s="23" t="str">
        <x:v>Referential integrity negative test</x:v>
      </x:c>
      <x:c r="G9" s="23" t="str">
        <x:v>No</x:v>
      </x:c>
      <x:c r="H9" s="23" t="str">
        <x:v>Delete clone</x:v>
      </x:c>
    </x:row>
    <x:row r="10" ht="50" customHeight="1">
      <x:c r="A10" s="23" t="str">
        <x:v>Zero charge</x:v>
      </x:c>
      <x:c r="B10" s="23" t="str">
        <x:v>Fixed loan / 0</x:v>
      </x:c>
      <x:c r="C10" s="23" t="str">
        <x:v>Principal 0; interest 0</x:v>
      </x:c>
      <x:c r="D10" s="23" t="str">
        <x:v>Should be rejected</x:v>
      </x:c>
      <x:c r="E10" s="23" t="str">
        <x:v>Saved</x:v>
      </x:c>
      <x:c r="F10" s="23" t="str">
        <x:v>Zero-value control</x:v>
      </x:c>
      <x:c r="G10" s="23" t="str">
        <x:v>No</x:v>
      </x:c>
      <x:c r="H10" s="23" t="str">
        <x:v>Delete clone</x:v>
      </x:c>
    </x:row>
    <x:row r="11" ht="50" customHeight="1">
      <x:c r="A11" s="23" t="str">
        <x:v>Negative charge</x:v>
      </x:c>
      <x:c r="B11" s="23" t="str">
        <x:v>Orphan loan / -2</x:v>
      </x:c>
      <x:c r="C11" s="23" t="str">
        <x:v>Principal -1; interest -1</x:v>
      </x:c>
      <x:c r="D11" s="23" t="str">
        <x:v>Should be rejected</x:v>
      </x:c>
      <x:c r="E11" s="23" t="str">
        <x:v>Saved; receipt action no-op</x:v>
      </x:c>
      <x:c r="F11" s="23" t="str">
        <x:v>Negative-value control</x:v>
      </x:c>
      <x:c r="G11" s="23" t="str">
        <x:v>No</x:v>
      </x:c>
      <x:c r="H11" s="23" t="str">
        <x:v>Delete clone</x:v>
      </x:c>
    </x:row>
    <x:row r="12" ht="50" customHeight="1">
      <x:c r="A12" s="24" t="str">
        <x:v>Past-due charge</x:v>
      </x:c>
      <x:c r="B12" s="24" t="str">
        <x:v>Orphan loan / 20</x:v>
      </x:c>
      <x:c r="C12" s="24" t="str">
        <x:v>Due 2026-08-29; interest 20</x:v>
      </x:c>
      <x:c r="D12" s="24" t="str">
        <x:v>5 + 15 = 20</x:v>
      </x:c>
      <x:c r="E12" s="24" t="str">
        <x:v>Paid; was Pending then Partial</x:v>
      </x:c>
      <x:c r="F12" s="24" t="str">
        <x:v>Due-date and payment-state test</x:v>
      </x:c>
      <x:c r="G12" s="24" t="str">
        <x:v>No</x:v>
      </x:c>
      <x:c r="H12" s="24" t="str">
        <x:v>Delete clone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70" hidden="0" customWidth="1"/>
    <x:col min="5" max="5" width="28" hidden="0" customWidth="1"/>
  </x:cols>
  <x:sheetData>
    <x:row r="1" ht="34" customHeight="1">
      <x:c r="A1" s="87" t="str">
        <x:v>EVIDENCE LOG</x:v>
      </x:c>
      <x:c r="B1" s="88"/>
      <x:c r="C1" s="88"/>
      <x:c r="D1" s="88"/>
      <x:c r="E1" s="88"/>
    </x:row>
    <x:row r="2" ht="32" customHeight="1">
      <x:c r="A2" s="6" t="str">
        <x:v>Evidence is textual and redacted; it records the visible UI state without including production personal data.</x:v>
      </x:c>
      <x:c r="B2" s="6"/>
      <x:c r="C2" s="6"/>
      <x:c r="D2" s="6"/>
      <x:c r="E2" s="6"/>
    </x:row>
    <x:row r="3">
      <x:c r="A3" s="88"/>
      <x:c r="B3" s="88"/>
      <x:c r="C3" s="88"/>
      <x:c r="D3" s="88"/>
      <x:c r="E3" s="88"/>
    </x:row>
    <x:row r="4">
      <x:c r="A4" s="88"/>
      <x:c r="B4" s="88"/>
      <x:c r="C4" s="88"/>
      <x:c r="D4" s="88"/>
      <x:c r="E4" s="88"/>
    </x:row>
    <x:row r="5">
      <x:c r="A5" s="14" t="str">
        <x:v>Evidence ID</x:v>
      </x:c>
      <x:c r="B5" s="14" t="str">
        <x:v>Date</x:v>
      </x:c>
      <x:c r="C5" s="14" t="str">
        <x:v>Surface</x:v>
      </x:c>
      <x:c r="D5" s="14" t="str">
        <x:v>Observation</x:v>
      </x:c>
      <x:c r="E5" s="14" t="str">
        <x:v>Related cases</x:v>
      </x:c>
    </x:row>
    <x:row r="6" ht="44" customHeight="1">
      <x:c r="A6" s="22" t="str">
        <x:v>E-001</x:v>
      </x:c>
      <x:c r="B6" s="22" t="str">
        <x:v>2026-08-30</x:v>
      </x:c>
      <x:c r="C6" s="22" t="str">
        <x:v>Production editor</x:v>
      </x:c>
      <x:c r="D6" s="22" t="str">
        <x:v>Version 2.200076 recorded; Save disabled/no unsaved changes.</x:v>
      </x:c>
      <x:c r="E6" s="22" t="str">
        <x:v>ENV-001, SEC-002</x:v>
      </x:c>
    </x:row>
    <x:row r="7" ht="44" customHeight="1">
      <x:c r="A7" s="23" t="str">
        <x:v>E-002</x:v>
      </x:c>
      <x:c r="B7" s="23" t="str">
        <x:v>2026-08-30</x:v>
      </x:c>
      <x:c r="C7" s="23" t="str">
        <x:v>Test app editor</x:v>
      </x:c>
      <x:c r="D7" s="23" t="str">
        <x:v>App ID fa3882d6-993d-450e-b7fc-15c3c7545263; AppSheet database source confirmed.</x:v>
      </x:c>
      <x:c r="E7" s="23" t="str">
        <x:v>ENV-002, ENV-004</x:v>
      </x:c>
    </x:row>
    <x:row r="8" ht="44" customHeight="1">
      <x:c r="A8" s="23" t="str">
        <x:v>E-003</x:v>
      </x:c>
      <x:c r="B8" s="23" t="str">
        <x:v>2026-08-30</x:v>
      </x:c>
      <x:c r="C8" s="23" t="str">
        <x:v>AppSheet database UI</x:v>
      </x:c>
      <x:c r="D8" s="23" t="str">
        <x:v>Test database qlNWJ209fg40Mrk3sGqtwd contains 18 borrowers including synthetic row; production has 17 and no synthetic prefix.</x:v>
      </x:c>
      <x:c r="E8" s="23" t="str">
        <x:v>ENV-003, ENV-005</x:v>
      </x:c>
    </x:row>
    <x:row r="9" ht="44" customHeight="1">
      <x:c r="A9" s="23" t="str">
        <x:v>E-004</x:v>
      </x:c>
      <x:c r="B9" s="23" t="str">
        <x:v>2026-08-30</x:v>
      </x:c>
      <x:c r="C9" s="23" t="str">
        <x:v>Borrower form</x:v>
      </x:c>
      <x:c r="D9" s="23" t="str">
        <x:v>Blank, exact duplicate and normalized duplicate validations were displayed.</x:v>
      </x:c>
      <x:c r="E9" s="23" t="str">
        <x:v>BRW-001, BRW-003, BRW-004</x:v>
      </x:c>
    </x:row>
    <x:row r="10" ht="44" customHeight="1">
      <x:c r="A10" s="23" t="str">
        <x:v>E-005</x:v>
      </x:c>
      <x:c r="B10" s="23" t="str">
        <x:v>2026-08-30</x:v>
      </x:c>
      <x:c r="C10" s="23" t="str">
        <x:v>Daily loan detail</x:v>
      </x:c>
      <x:c r="D10" s="23" t="str">
        <x:v>First-day interest charge/receipt created once; close action produced final principal receipt and zero balance.</x:v>
      </x:c>
      <x:c r="E10" s="23" t="str">
        <x:v>LOAN-008, LOAN-009, LOAN-017</x:v>
      </x:c>
    </x:row>
    <x:row r="11" ht="44" customHeight="1">
      <x:c r="A11" s="23" t="str">
        <x:v>E-006</x:v>
      </x:c>
      <x:c r="B11" s="23" t="str">
        <x:v>2026-08-30</x:v>
      </x:c>
      <x:c r="C11" s="23" t="str">
        <x:v>Fixed loan detail</x:v>
      </x:c>
      <x:c r="D11" s="23" t="str">
        <x:v>2,000 principal + 200 interest = 2,200; outstanding 0; Closed.</x:v>
      </x:c>
      <x:c r="E11" s="23" t="str">
        <x:v>LOAN-016, PAY-008</x:v>
      </x:c>
    </x:row>
    <x:row r="12" ht="44" customHeight="1">
      <x:c r="A12" s="23" t="str">
        <x:v>E-007</x:v>
      </x:c>
      <x:c r="B12" s="23" t="str">
        <x:v>2026-08-30</x:v>
      </x:c>
      <x:c r="C12" s="23" t="str">
        <x:v>Loans view</x:v>
      </x:c>
      <x:c r="D12" s="23" t="str">
        <x:v>1,500 active loan displayed in a blank borrower group.</x:v>
      </x:c>
      <x:c r="E12" s="23" t="str">
        <x:v>LOAN-019</x:v>
      </x:c>
    </x:row>
    <x:row r="13" ht="44" customHeight="1">
      <x:c r="A13" s="23" t="str">
        <x:v>E-008</x:v>
      </x:c>
      <x:c r="B13" s="23" t="str">
        <x:v>2026-08-30</x:v>
      </x:c>
      <x:c r="C13" s="23" t="str">
        <x:v>Negative charge detail</x:v>
      </x:c>
      <x:c r="D13" s="23" t="str">
        <x:v>Principal Due -1, Interest Due -1, Amount Due -2, Pending; Receive action no-op.</x:v>
      </x:c>
      <x:c r="E13" s="23" t="str">
        <x:v>CHG-002, CHG-003, CHG-004</x:v>
      </x:c>
    </x:row>
    <x:row r="14" ht="44" customHeight="1">
      <x:c r="A14" s="23" t="str">
        <x:v>E-009</x:v>
      </x:c>
      <x:c r="B14" s="23" t="str">
        <x:v>2026-08-30</x:v>
      </x:c>
      <x:c r="C14" s="23" t="str">
        <x:v>Past-due charge detail</x:v>
      </x:c>
      <x:c r="D14" s="23" t="str">
        <x:v>Charge dated 2026-08-29 remained Pending, then Partial, then Payment Received after 5 + 15.</x:v>
      </x:c>
      <x:c r="E14" s="23" t="str">
        <x:v>CHG-005, CHG-006, CHG-007, CHG-008</x:v>
      </x:c>
    </x:row>
    <x:row r="15" ht="44" customHeight="1">
      <x:c r="A15" s="23" t="str">
        <x:v>E-010</x:v>
      </x:c>
      <x:c r="B15" s="23" t="str">
        <x:v>2026-08-30</x:v>
      </x:c>
      <x:c r="C15" s="23" t="str">
        <x:v>Collection view</x:v>
      </x:c>
      <x:c r="D15" s="23" t="str">
        <x:v>Synthetic valid borrower displayed Fully Paid with 3,210 collected and zero due; orphan absent.</x:v>
      </x:c>
      <x:c r="E15" s="23" t="str">
        <x:v>COL-002, COL-004</x:v>
      </x:c>
    </x:row>
    <x:row r="16" ht="44" customHeight="1">
      <x:c r="A16" s="23" t="str">
        <x:v>E-011</x:v>
      </x:c>
      <x:c r="B16" s="23" t="str">
        <x:v>2026-08-30</x:v>
      </x:c>
      <x:c r="C16" s="23" t="str">
        <x:v>Automation editor</x:v>
      </x:c>
      <x:c r="D16" s="23" t="str">
        <x:v>Create First-Day Charge, Auto Receive First-Day Charge and Daily 00:05 bot confirmed; scheduled-runtime warning shown.</x:v>
      </x:c>
      <x:c r="E16" s="23" t="str">
        <x:v>AUTO-001, AUTO-002, AUTO-003, AUTO-004</x:v>
      </x:c>
    </x:row>
    <x:row r="17" ht="44" customHeight="1">
      <x:c r="A17" s="24" t="str">
        <x:v>E-012</x:v>
      </x:c>
      <x:c r="B17" s="24" t="str">
        <x:v>2026-08-30</x:v>
      </x:c>
      <x:c r="C17" s="24" t="str">
        <x:v>Responsive simulator</x:v>
      </x:c>
      <x:c r="D17" s="24" t="str">
        <x:v>Primary navigation present in Mobile and Tablet modes.</x:v>
      </x:c>
      <x:c r="E17" s="24" t="str">
        <x:v>UX-002, UX-003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0" hidden="0" customWidth="1"/>
    <x:col min="4" max="4" width="74" hidden="0" customWidth="1"/>
    <x:col min="5" max="5" width="48" hidden="0" customWidth="1"/>
  </x:cols>
  <x:sheetData>
    <x:row r="1" ht="34" customHeight="1">
      <x:c r="A1" s="87" t="str">
        <x:v>MANUAL FOLLOW-UP AND ACCEPTANCE CHECKLIST</x:v>
      </x:c>
      <x:c r="B1" s="88"/>
      <x:c r="C1" s="88"/>
      <x:c r="D1" s="88"/>
      <x:c r="E1" s="88"/>
    </x:row>
    <x:row r="2" ht="32" customHeight="1">
      <x:c r="A2" s="6" t="str">
        <x:v>These tests require additional authority, identities, devices, deployment state, or a remediation build. Acceptance remains pending.</x:v>
      </x:c>
      <x:c r="B2" s="6"/>
      <x:c r="C2" s="6"/>
      <x:c r="D2" s="6"/>
      <x:c r="E2" s="6"/>
    </x:row>
    <x:row r="3">
      <x:c r="A3" s="88"/>
      <x:c r="B3" s="88"/>
      <x:c r="C3" s="88"/>
      <x:c r="D3" s="88"/>
      <x:c r="E3" s="88"/>
    </x:row>
    <x:row r="4">
      <x:c r="A4" s="88"/>
      <x:c r="B4" s="88"/>
      <x:c r="C4" s="88"/>
      <x:c r="D4" s="88"/>
      <x:c r="E4" s="88"/>
    </x:row>
    <x:row r="5">
      <x:c r="A5" s="14" t="str">
        <x:v>#</x:v>
      </x:c>
      <x:c r="B5" s="14" t="str">
        <x:v>Priority</x:v>
      </x:c>
      <x:c r="C5" s="14" t="str">
        <x:v>Test / decision</x:v>
      </x:c>
      <x:c r="D5" s="14" t="str">
        <x:v>Procedure</x:v>
      </x:c>
      <x:c r="E5" s="14" t="str">
        <x:v>Acceptance evidence</x:v>
      </x:c>
    </x:row>
    <x:row r="6" ht="60" customHeight="1">
      <x:c r="A6" s="84" t="n">
        <x:v>1</x:v>
      </x:c>
      <x:c r="B6" s="22" t="str">
        <x:v>High</x:v>
      </x:c>
      <x:c r="C6" s="22" t="str">
        <x:v>Borrower deletion</x:v>
      </x:c>
      <x:c r="D6" s="22" t="str">
        <x:v>Use only synthetic data. Attempt deleting a borrower with linked loans; verify physical deletion is blocked or routed to a documented archival process.</x:v>
      </x:c>
      <x:c r="E6" s="22" t="str">
        <x:v>Audit-safe behavior and unchanged child refs.</x:v>
      </x:c>
    </x:row>
    <x:row r="7" ht="60" customHeight="1">
      <x:c r="A7" s="85" t="n">
        <x:v>2</x:v>
      </x:c>
      <x:c r="B7" s="23" t="str">
        <x:v>High</x:v>
      </x:c>
      <x:c r="C7" s="23" t="str">
        <x:v>Default workflow</x:v>
      </x:c>
      <x:c r="D7" s="23" t="str">
        <x:v>With an approved synthetic active loan, execute the intended default process; verify Defaulted, Default Loss Amount, closed state, dates, audit trail and OLAP feed.</x:v>
      </x:c>
      <x:c r="E7" s="23" t="str">
        <x:v>Loss equals governed outstanding principal and reconciles downstream.</x:v>
      </x:c>
    </x:row>
    <x:row r="8" ht="60" customHeight="1">
      <x:c r="A8" s="85" t="n">
        <x:v>3</x:v>
      </x:c>
      <x:c r="B8" s="23" t="str">
        <x:v>High</x:v>
      </x:c>
      <x:c r="C8" s="23" t="str">
        <x:v>Scheduled 00:05 bot</x:v>
      </x:c>
      <x:c r="D8" s="23" t="str">
        <x:v>After explicit approval in a deployable test app, verify eligibility, one charge per period, retries, time zone, and idempotency across two runs.</x:v>
      </x:c>
      <x:c r="E8" s="23" t="str">
        <x:v>No duplicate charges; exact eligible population.</x:v>
      </x:c>
    </x:row>
    <x:row r="9" ht="60" customHeight="1">
      <x:c r="A9" s="85" t="n">
        <x:v>4</x:v>
      </x:c>
      <x:c r="B9" s="23" t="str">
        <x:v>High</x:v>
      </x:c>
      <x:c r="C9" s="23" t="str">
        <x:v>Notification bots</x:v>
      </x:c>
      <x:c r="D9" s="23" t="str">
        <x:v>Route to approved test recipient only; create and close a synthetic loan; check redaction, content, single delivery and failure handling.</x:v>
      </x:c>
      <x:c r="E9" s="23" t="str">
        <x:v>No live borrower data or duplicate messages.</x:v>
      </x:c>
    </x:row>
    <x:row r="10" ht="60" customHeight="1">
      <x:c r="A10" s="85" t="n">
        <x:v>5</x:v>
      </x:c>
      <x:c r="B10" s="23" t="str">
        <x:v>High</x:v>
      </x:c>
      <x:c r="C10" s="23" t="str">
        <x:v>Offline / sync conflict</x:v>
      </x:c>
      <x:c r="D10" s="23" t="str">
        <x:v>On a test device, create and edit synthetic borrower/payment data offline, reconnect, and resolve concurrent edits.</x:v>
      </x:c>
      <x:c r="E10" s="23" t="str">
        <x:v>No lost, duplicated, or silently overwritten financial records.</x:v>
      </x:c>
    </x:row>
    <x:row r="11" ht="60" customHeight="1">
      <x:c r="A11" s="85" t="n">
        <x:v>6</x:v>
      </x:c>
      <x:c r="B11" s="23" t="str">
        <x:v>High</x:v>
      </x:c>
      <x:c r="C11" s="23" t="str">
        <x:v>Role permissions</x:v>
      </x:c>
      <x:c r="D11" s="23" t="str">
        <x:v>Use approved operator/read-only identities; test add/edit/delete/actions, row visibility and sensitive columns.</x:v>
      </x:c>
      <x:c r="E11" s="23" t="str">
        <x:v>Least privilege enforced in every view/action.</x:v>
      </x:c>
    </x:row>
    <x:row r="12" ht="60" customHeight="1">
      <x:c r="A12" s="85" t="n">
        <x:v>7</x:v>
      </x:c>
      <x:c r="B12" s="23" t="str">
        <x:v>High</x:v>
      </x:c>
      <x:c r="C12" s="23" t="str">
        <x:v>Remediation retest F-001</x:v>
      </x:c>
      <x:c r="D12" s="23" t="str">
        <x:v>After fix, test every loan-add route and confirm orphan exception count is zero.</x:v>
      </x:c>
      <x:c r="E12" s="23" t="str">
        <x:v>Borrower required and collection/KPIs reconcile.</x:v>
      </x:c>
    </x:row>
    <x:row r="13" ht="60" customHeight="1">
      <x:c r="A13" s="85" t="n">
        <x:v>8</x:v>
      </x:c>
      <x:c r="B13" s="23" t="str">
        <x:v>High</x:v>
      </x:c>
      <x:c r="C13" s="23" t="str">
        <x:v>Remediation retest F-003</x:v>
      </x:c>
      <x:c r="D13" s="23" t="str">
        <x:v>After fix, test negative and mixed-sign due values plus legacy invalid-row handling.</x:v>
      </x:c>
      <x:c r="E13" s="23" t="str">
        <x:v>Invalid inputs blocked with clear messages.</x:v>
      </x:c>
    </x:row>
    <x:row r="14" ht="60" customHeight="1">
      <x:c r="A14" s="85" t="n">
        <x:v>9</x:v>
      </x:c>
      <x:c r="B14" s="23" t="str">
        <x:v>Medium</x:v>
      </x:c>
      <x:c r="C14" s="23" t="str">
        <x:v>Remediation retest F-002</x:v>
      </x:c>
      <x:c r="D14" s="23" t="str">
        <x:v>After fix, attempt zero charges and repayments from forms and actions.</x:v>
      </x:c>
      <x:c r="E14" s="23" t="str">
        <x:v>Zero rows blocked; no automation loop or duplicate.</x:v>
      </x:c>
    </x:row>
    <x:row r="15" ht="60" customHeight="1">
      <x:c r="A15" s="85" t="n">
        <x:v>10</x:v>
      </x:c>
      <x:c r="B15" s="23" t="str">
        <x:v>Medium</x:v>
      </x:c>
      <x:c r="C15" s="23" t="str">
        <x:v>Overdue-state reconciliation</x:v>
      </x:c>
      <x:c r="D15" s="23" t="str">
        <x:v>Compare charge detail, Collection board, Overview KPI and OLAP/Looker feeds at a controlled as-of date.</x:v>
      </x:c>
      <x:c r="E15" s="23" t="str">
        <x:v>One governed overdue definition across layers.</x:v>
      </x:c>
    </x:row>
    <x:row r="16" ht="60" customHeight="1">
      <x:c r="A16" s="85" t="n">
        <x:v>11</x:v>
      </x:c>
      <x:c r="B16" s="23" t="str">
        <x:v>Medium</x:v>
      </x:c>
      <x:c r="C16" s="23" t="str">
        <x:v>Reversal / void</x:v>
      </x:c>
      <x:c r="D16" s="23" t="str">
        <x:v>Use approved synthetic posted payment; execute documented reversal/void and verify immutable audit linkage and restored balances.</x:v>
      </x:c>
      <x:c r="E16" s="23" t="str">
        <x:v>No physical deletion; totals fully reconcile.</x:v>
      </x:c>
    </x:row>
    <x:row r="17" ht="60" customHeight="1">
      <x:c r="A17" s="86" t="n">
        <x:v>12</x:v>
      </x:c>
      <x:c r="B17" s="24" t="str">
        <x:v>Medium</x:v>
      </x:c>
      <x:c r="C17" s="24" t="str">
        <x:v>Performance baseline</x:v>
      </x:c>
      <x:c r="D17" s="24" t="str">
        <x:v>Capture sync and key-view load times with expected peak row volumes on mobile network conditions.</x:v>
      </x:c>
      <x:c r="E17" s="24" t="str">
        <x:v>Targets agreed and met; no OLTP degradation.</x:v>
      </x:c>
    </x:row>
  </x:sheetData>
  <x:mergeCells>
    <x:mergeCell ref="A1:E1"/>
    <x:mergeCell ref="A2:E2"/>
  </x:mergeCells>
  <x:pageMargins left="0.7" right="0.7" top="0.75" bottom="0.75" header="0.3" footer="0.3"/>
</x:worksheet>
</file>