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bd6191f1c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00f0001e57449c"/>
    <x:sheet xmlns:r="http://schemas.openxmlformats.org/officeDocument/2006/relationships" name="Tables" sheetId="2" r:id="Re115a35d331a446d"/>
    <x:sheet xmlns:r="http://schemas.openxmlformats.org/officeDocument/2006/relationships" name="Columns" sheetId="3" r:id="R87788200e9b74e39"/>
    <x:sheet xmlns:r="http://schemas.openxmlformats.org/officeDocument/2006/relationships" name="Relationships" sheetId="4" r:id="R64f6e6e28bc94d56"/>
    <x:sheet xmlns:r="http://schemas.openxmlformats.org/officeDocument/2006/relationships" name="Slices" sheetId="5" r:id="Rbffe19aec4fa4afd"/>
    <x:sheet xmlns:r="http://schemas.openxmlformats.org/officeDocument/2006/relationships" name="Slice Columns" sheetId="6" r:id="Rff558169d9d04a2a"/>
    <x:sheet xmlns:r="http://schemas.openxmlformats.org/officeDocument/2006/relationships" name="App Variances" sheetId="7" r:id="Red1ceebed97643a3"/>
    <x:sheet xmlns:r="http://schemas.openxmlformats.org/officeDocument/2006/relationships" name="Change Log" sheetId="8" r:id="Rf05b962bee54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a7d1047d44202" /><Relationship Type="http://schemas.openxmlformats.org/officeDocument/2006/relationships/theme" Target="/xl/theme/theme1.xml" Id="R36b64fc2185d428f" /><Relationship Type="http://schemas.openxmlformats.org/officeDocument/2006/relationships/sharedStrings" Target="/xl/sharedStrings.xml" Id="R29fdef173b9c4938" /><Relationship Type="http://schemas.openxmlformats.org/officeDocument/2006/relationships/worksheet" Target="/xl/worksheets/sheet1.xml" Id="Rb200f0001e57449c" /><Relationship Type="http://schemas.openxmlformats.org/officeDocument/2006/relationships/worksheet" Target="/xl/worksheets/sheet2.xml" Id="Re115a35d331a446d" /><Relationship Type="http://schemas.openxmlformats.org/officeDocument/2006/relationships/worksheet" Target="/xl/worksheets/sheet3.xml" Id="R87788200e9b74e39" /><Relationship Type="http://schemas.openxmlformats.org/officeDocument/2006/relationships/worksheet" Target="/xl/worksheets/sheet4.xml" Id="R64f6e6e28bc94d56" /><Relationship Type="http://schemas.openxmlformats.org/officeDocument/2006/relationships/worksheet" Target="/xl/worksheets/sheet5.xml" Id="Rbffe19aec4fa4afd" /><Relationship Type="http://schemas.openxmlformats.org/officeDocument/2006/relationships/worksheet" Target="/xl/worksheets/sheet6.xml" Id="Rff558169d9d04a2a" /><Relationship Type="http://schemas.openxmlformats.org/officeDocument/2006/relationships/worksheet" Target="/xl/worksheets/sheet7.xml" Id="Red1ceebed97643a3" /><Relationship Type="http://schemas.openxmlformats.org/officeDocument/2006/relationships/worksheet" Target="/xl/worksheets/sheet8.xml" Id="Rf05b962bee54422c" /></Relationships>
</file>

<file path=xl/tables/table1.xml><?xml version="1.0" encoding="utf-8"?>
<x:table xmlns:x="http://schemas.openxmlformats.org/spreadsheetml/2006/main" id="1" name="DataModelTables" displayName="DataModelTables" ref="A4:G15" headerRowCount="1" totalsRowCount="0" totalsRowShown="0">
  <x:autoFilter ref="A4:G15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ModelColumns" displayName="DataModelColumns" ref="A4:H320" headerRowCount="1" totalsRowCount="0" totalsRowShown="0">
  <x:autoFilter ref="A4:H320"/>
  <x:tableColumns count="8">
    <x:tableColumn id="1" name="Table"/>
    <x:tableColumn id="2" name="Column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ModelRelationships" displayName="DataModelRelationships" ref="A4:E12" headerRowCount="1" totalsRowCount="0" totalsRowShown="0">
  <x:autoFilter ref="A4:E12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ModelSlices" displayName="DataModelSlices" ref="A4:H17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ModelSliceColumns" displayName="DataModelSliceColumns" ref="A4:D368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odelAppVariances" displayName="DataModelAppVariances" ref="A4:F196" headerRowCount="1" totalsRowCount="0" totalsRowShown="0">
  <x:autoFilter ref="A4:F196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6ecb7c58d54b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1c21400d8846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1957c7f2d24f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7652dc668f41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9765aa85c440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8203bec46d43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90203acfc142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112" customHeight="1">
      <x:c r="A5" s="12" t="inlineStr">
        <x:is>
          <x:t xml:space="preserve">Reconciliation status</x:t>
        </x:is>
      </x:c>
      <x:c r="B5" s="14" t="str">
        <x:v>Reconciled with production OLTP v2.200109 and OLAP v1.000175 on 2026-09-02. OLAP Borrowers now includes eleven borrower-value/stability matrix helpers, all exposed through Reporting Borrowers for the new Looker Studio Borrowers Analysis bubble chart. The chart uses 30-day realized-profit share, a dynamically normalized stability score, outstanding principal bubble size, and active-borrower filtering. The current OLAP schema also retains Projected Monthly Profit Contribution and the pre-existing Hidden Flag; Hidden Flag is not used by OLAP reporting filters. Manual dashboard acceptance remains pending.</x:v>
      </x:c>
    </x:row>
    <x:row r="6" ht="34" customHeight="1">
      <x:c r="A6" s="12" t="inlineStr">
        <x:is>
          <x:t xml:space="preserve">Live baselines</x:t>
        </x:is>
      </x:c>
      <x:c r="B6" s="14" t="str">
        <x:v>OLTP v2.200109 — Loan Manager ผู้จัดการสินเชื่อ — 93844270-6aa5-420b-a960-bcdf08abd357
OLAP v1.000175 — Loan Business Insights — e74dd368-654f-44d7-bccf-83cf361d1cdb</x:v>
      </x:c>
    </x:row>
    <x:row r="7" ht="15" customHeight="1">
      <x:c r="A7" s="12" t="inlineStr">
        <x:is>
          <x:t xml:space="preserve">Reconciliation date</x:t>
        </x:is>
      </x:c>
      <x:c r="B7" s="14" t="str">
        <x:v>2026-09-02 (Asia/Singapore)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11</x:v>
      </x:c>
    </x:row>
    <x:row r="9" ht="15" customHeight="1">
      <x:c r="A9" s="12" t="inlineStr">
        <x:is>
          <x:t xml:space="preserve">Columns</x:t>
        </x:is>
      </x:c>
      <x:c r="B9" s="14" t="n">
        <x:v>317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8</x:v>
      </x:c>
    </x:row>
    <x:row r="11" ht="15" customHeight="1">
      <x:c r="A11" s="12" t="inlineStr">
        <x:is>
          <x:t xml:space="preserve">Slices</x:t>
        </x:is>
      </x:c>
      <x:c r="B11" s="14" t="n">
        <x:v>13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>
      <x:c r="A24" s="62" t="str">
        <x:v>Shared VC baseline: 82 VCs are present in both apps and the five daily-installment formula variances remain resolved. Borrowers[Active Profit After Principal Coverage] is OLTP-only. Borrowers[Projected Monthly Profit Contribution] and the eleven Matrix* helpers are OLAP-only. Borrowers[Hidden Flag] is loaded in both apps, but only the OLTP Visible Borrowers slice uses it as a filter. Loans[Daily Installment Base Principal] and the four Calendar schedule VCs remain OLAP-only reporting helpers. Charges[Ref Loans] is OLTP-required; the OLAP Required flag was not changed or re-verified.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</x:sheetData>
  <x:mergeCells>
    <x:mergeCell ref="A2:F2"/>
    <x:mergeCell ref="A1:F1"/>
    <x:mergeCell ref="A24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0" customHeight="1">
      <x:c r="A2" s="7" t="inlineStr">
        <x:is>
          <x:t xml:space="preserve">Source ownership, application loading, physical/virtual column counts, and table purpose.</x:t>
        </x:is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inlineStr">
        <x:is>
          <x:t xml:space="preserve">Borrowers</x:t>
        </x:is>
      </x:c>
      <x:c r="B5" s="58" t="inlineStr">
        <x:is>
          <x:t xml:space="preserve">Money database</x:t>
        </x:is>
      </x:c>
      <x:c r="C5" s="56" t="inlineStr">
        <x:is>
          <x:t xml:space="preserve">OLTP + OLAP</x:t>
        </x:is>
      </x:c>
      <x:c r="D5" s="56" t="inlineStr">
        <x:is>
          <x:t xml:space="preserve">7</x:t>
        </x:is>
      </x:c>
      <x:c r="E5" s="56" t="n">
        <x:v>25</x:v>
      </x:c>
      <x:c r="F5" s="56" t="n">
        <x:v>62</x:v>
      </x:c>
      <x:c r="G5" s="58" t="str">
        <x:v>Borrower master records and indicators; includes the OLAP-only projected-monthly-profit contribution and borrower value/stability matrix VCs plus the OLTP-only active principal-coverage VC. Hidden Flag is loaded in both apps but filters only the OLTP primary borrower list.</x:v>
      </x:c>
    </x:row>
    <x:row r="6" ht="15" customHeight="1">
      <x:c r="A6" s="57" t="inlineStr">
        <x:is>
          <x:t xml:space="preserve">Calendar</x:t>
        </x:is>
      </x:c>
      <x:c r="B6" s="59" t="inlineStr">
        <x:is>
          <x:t xml:space="preserve">Calendar Help Table / Sheet1</x:t>
        </x:is>
      </x:c>
      <x:c r="C6" s="57" t="inlineStr">
        <x:is>
          <x:t xml:space="preserve">OLAP only</x:t>
        </x:is>
      </x:c>
      <x:c r="D6" s="57" t="inlineStr">
        <x:is>
          <x:t xml:space="preserve">2</x:t>
        </x:is>
      </x:c>
      <x:c r="E6" s="57" t="inlineStr">
        <x:is>
          <x:t xml:space="preserve">0</x:t>
        </x:is>
      </x:c>
      <x:c r="F6" s="57" t="n">
        <x:v>26</x:v>
      </x:c>
      <x:c r="G6" s="59" t="inlineStr">
        <x:is>
          <x:t xml:space="preserve">Google Sheets-backed date spine used by OLAP loan-assessment projections, including declining daily-installment principal and interest schedules.</x:t>
        </x:is>
      </x:c>
    </x:row>
    <x:row r="7" ht="15" customHeight="1">
      <x:c r="A7" s="57" t="inlineStr">
        <x:is>
          <x:t xml:space="preserve">Cash Pool Contributions</x:t>
        </x:is>
      </x:c>
      <x:c r="B7" s="59" t="inlineStr">
        <x:is>
          <x:t xml:space="preserve">Money database</x:t>
        </x:is>
      </x:c>
      <x:c r="C7" s="57" t="inlineStr">
        <x:is>
          <x:t xml:space="preserve">OLAP only</x:t>
        </x:is>
      </x:c>
      <x:c r="D7" s="57" t="inlineStr">
        <x:is>
          <x:t xml:space="preserve">7</x:t>
        </x:is>
      </x:c>
      <x:c r="E7" s="57" t="inlineStr">
        <x:is>
          <x:t xml:space="preserve">0</x:t>
        </x:is>
      </x:c>
      <x:c r="F7" s="57" t="inlineStr">
        <x:is>
          <x:t xml:space="preserve">2</x:t>
        </x:is>
      </x:c>
      <x:c r="G7" s="59" t="inlineStr">
        <x:is>
          <x:t xml:space="preserve">Partner capital-contribution movements that build the lendable cash pool.</x:t>
        </x:is>
      </x:c>
    </x:row>
    <x:row r="8" ht="15" customHeight="1">
      <x:c r="A8" s="57" t="inlineStr">
        <x:is>
          <x:t xml:space="preserve">Charges</x:t>
        </x:is>
      </x:c>
      <x:c r="B8" s="59" t="inlineStr">
        <x:is>
          <x:t xml:space="preserve">Money database</x:t>
        </x:is>
      </x:c>
      <x:c r="C8" s="57" t="inlineStr">
        <x:is>
          <x:t xml:space="preserve">OLTP + OLAP</x:t>
        </x:is>
      </x:c>
      <x:c r="D8" s="57" t="inlineStr">
        <x:is>
          <x:t xml:space="preserve">7</x:t>
        </x:is>
      </x:c>
      <x:c r="E8" s="57" t="inlineStr">
        <x:is>
          <x:t xml:space="preserve">15</x:t>
        </x:is>
      </x:c>
      <x:c r="F8" s="57" t="inlineStr">
        <x:is>
          <x:t xml:space="preserve">18</x:t>
        </x:is>
      </x:c>
      <x:c r="G8" s="59" t="inlineStr">
        <x:is>
          <x:t xml:space="preserve">Scheduled amounts due and collection state at charge level, including principal and interest allocation.</x:t>
        </x:is>
      </x:c>
    </x:row>
    <x:row r="9" ht="15" customHeight="1">
      <x:c r="A9" s="57" t="inlineStr">
        <x:is>
          <x:t xml:space="preserve">Daily Analytics</x:t>
        </x:is>
      </x:c>
      <x:c r="B9" s="59" t="inlineStr">
        <x:is>
          <x:t xml:space="preserve">Money database</x:t>
        </x:is>
      </x:c>
      <x:c r="C9" s="57" t="inlineStr">
        <x:is>
          <x:t xml:space="preserve">OLAP only</x:t>
        </x:is>
      </x:c>
      <x:c r="D9" s="57" t="inlineStr">
        <x:is>
          <x:t xml:space="preserve">17</x:t>
        </x:is>
      </x:c>
      <x:c r="E9" s="57" t="inlineStr">
        <x:is>
          <x:t xml:space="preserve">0</x:t>
        </x:is>
      </x:c>
      <x:c r="F9" s="57" t="inlineStr">
        <x:is>
          <x:t xml:space="preserve">6</x:t>
        </x:is>
      </x:c>
      <x:c r="G9" s="59" t="inlineStr">
        <x:is>
          <x:t xml:space="preserve">Persisted daily portfolio snapshot fact table for historical reporting and governed feeds.</x:t>
        </x:is>
      </x:c>
    </x:row>
    <x:row r="10" ht="15" customHeight="1">
      <x:c r="A10" s="57" t="inlineStr">
        <x:is>
          <x:t xml:space="preserve">Loan Assessment</x:t>
        </x:is>
      </x:c>
      <x:c r="B10" s="59" t="inlineStr">
        <x:is>
          <x:t xml:space="preserve">Money database</x:t>
        </x:is>
      </x:c>
      <x:c r="C10" s="57" t="inlineStr">
        <x:is>
          <x:t xml:space="preserve">OLAP only</x:t>
        </x:is>
      </x:c>
      <x:c r="D10" s="57" t="inlineStr">
        <x:is>
          <x:t xml:space="preserve">6</x:t>
        </x:is>
      </x:c>
      <x:c r="E10" s="57" t="inlineStr">
        <x:is>
          <x:t xml:space="preserve">0</x:t>
        </x:is>
      </x:c>
      <x:c r="F10" s="57" t="inlineStr">
        <x:is>
          <x:t xml:space="preserve">16</x:t>
        </x:is>
      </x:c>
      <x:c r="G10" s="59" t="inlineStr">
        <x:is>
          <x:t xml:space="preserve">Input/control record for evaluating a proposed loan against projected coverage and return.</x:t>
        </x:is>
      </x:c>
    </x:row>
    <x:row r="11" ht="15" customHeight="1">
      <x:c r="A11" s="57" t="inlineStr">
        <x:is>
          <x:t xml:space="preserve">Loans</x:t>
        </x:is>
      </x:c>
      <x:c r="B11" s="59" t="inlineStr">
        <x:is>
          <x:t xml:space="preserve">Money database</x:t>
        </x:is>
      </x:c>
      <x:c r="C11" s="57" t="inlineStr">
        <x:is>
          <x:t xml:space="preserve">OLTP + OLAP</x:t>
        </x:is>
      </x:c>
      <x:c r="D11" s="57" t="n">
        <x:v>20</x:v>
      </x:c>
      <x:c r="E11" s="57" t="n">
        <x:v>20</x:v>
      </x:c>
      <x:c r="F11" s="57" t="n">
        <x:v>30</x:v>
      </x:c>
      <x:c r="G11" s="59" t="inlineStr">
        <x:is>
          <x:t xml:space="preserve">Loan contracts, commercial terms, lifecycle state, balances, daily-installment reporting, and loan-level risk metrics.</x:t>
        </x:is>
      </x:c>
    </x:row>
    <x:row r="12" ht="15" customHeight="1">
      <x:c r="A12" s="57" t="inlineStr">
        <x:is>
          <x:t xml:space="preserve">Partners</x:t>
        </x:is>
      </x:c>
      <x:c r="B12" s="59" t="inlineStr">
        <x:is>
          <x:t xml:space="preserve">Money database</x:t>
        </x:is>
      </x:c>
      <x:c r="C12" s="57" t="inlineStr">
        <x:is>
          <x:t xml:space="preserve">OLTP + OLAP</x:t>
        </x:is>
      </x:c>
      <x:c r="D12" s="57" t="inlineStr">
        <x:is>
          <x:t xml:space="preserve">5</x:t>
        </x:is>
      </x:c>
      <x:c r="E12" s="57" t="inlineStr">
        <x:is>
          <x:t xml:space="preserve">0</x:t>
        </x:is>
      </x:c>
      <x:c r="F12" s="57" t="inlineStr">
        <x:is>
          <x:t xml:space="preserve">12</x:t>
        </x:is>
      </x:c>
      <x:c r="G12" s="59" t="inlineStr">
        <x:is>
          <x:t xml:space="preserve">Partner master records used for capital participation and settlement reporting.</x:t>
        </x:is>
      </x:c>
    </x:row>
    <x:row r="13" ht="15" customHeight="1">
      <x:c r="A13" s="57" t="inlineStr">
        <x:is>
          <x:t xml:space="preserve">Repayments</x:t>
        </x:is>
      </x:c>
      <x:c r="B13" s="59" t="inlineStr">
        <x:is>
          <x:t xml:space="preserve">Money database</x:t>
        </x:is>
      </x:c>
      <x:c r="C13" s="57" t="inlineStr">
        <x:is>
          <x:t xml:space="preserve">OLTP + OLAP</x:t>
        </x:is>
      </x:c>
      <x:c r="D13" s="57" t="inlineStr">
        <x:is>
          <x:t xml:space="preserve">9</x:t>
        </x:is>
      </x:c>
      <x:c r="E13" s="57" t="inlineStr">
        <x:is>
          <x:t xml:space="preserve">4</x:t>
        </x:is>
      </x:c>
      <x:c r="F13" s="57" t="inlineStr">
        <x:is>
          <x:t xml:space="preserve">13</x:t>
        </x:is>
      </x:c>
      <x:c r="G13" s="59" t="inlineStr">
        <x:is>
          <x:t xml:space="preserve">Posted payment transactions and their allocation to loans and charges.</x:t>
        </x:is>
      </x:c>
    </x:row>
    <x:row r="14" ht="15" customHeight="1">
      <x:c r="A14" s="57" t="inlineStr">
        <x:is>
          <x:t xml:space="preserve">Settlements</x:t>
        </x:is>
      </x:c>
      <x:c r="B14" s="59" t="inlineStr">
        <x:is>
          <x:t xml:space="preserve">Money database</x:t>
        </x:is>
      </x:c>
      <x:c r="C14" s="57" t="inlineStr">
        <x:is>
          <x:t xml:space="preserve">OLAP only</x:t>
        </x:is>
      </x:c>
      <x:c r="D14" s="57" t="inlineStr">
        <x:is>
          <x:t xml:space="preserve">8</x:t>
        </x:is>
      </x:c>
      <x:c r="E14" s="57" t="inlineStr">
        <x:is>
          <x:t xml:space="preserve">0</x:t>
        </x:is>
      </x:c>
      <x:c r="F14" s="57" t="inlineStr">
        <x:is>
          <x:t xml:space="preserve">0</x:t>
        </x:is>
      </x:c>
      <x:c r="G14" s="59" t="inlineStr">
        <x:is>
          <x:t xml:space="preserve">Auditable partner settlement records and settlement status.</x:t>
        </x:is>
      </x:c>
    </x:row>
    <x:row r="15" ht="15" customHeight="1">
      <x:c r="A15" s="57" t="inlineStr">
        <x:is>
          <x:t xml:space="preserve">Statistics</x:t>
        </x:is>
      </x:c>
      <x:c r="B15" s="59" t="inlineStr">
        <x:is>
          <x:t xml:space="preserve">Money database</x:t>
        </x:is>
      </x:c>
      <x:c r="C15" s="57" t="inlineStr">
        <x:is>
          <x:t xml:space="preserve">OLTP + OLAP</x:t>
        </x:is>
      </x:c>
      <x:c r="D15" s="57" t="inlineStr">
        <x:is>
          <x:t xml:space="preserve">3</x:t>
        </x:is>
      </x:c>
      <x:c r="E15" s="57" t="inlineStr">
        <x:is>
          <x:t xml:space="preserve">23</x:t>
        </x:is>
      </x:c>
      <x:c r="F15" s="57" t="inlineStr">
        <x:is>
          <x:t xml:space="preserve">36</x:t>
        </x:is>
      </x:c>
      <x:c r="G15" s="59" t="inlineStr">
        <x:is>
          <x:t xml:space="preserve">Small KPI/control table used to expose app-level operational and reporting aggregates.</x:t>
        </x:is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d36ecb7c58d54b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30" customHeight="1">
      <x:c r="A2" s="7" t="str">
        <x:v>Reconciled union of OLTP and OLAP physical and virtual columns. OLAP Borrowers gained eleven borrower value/stability matrix VCs on 2026-09-02; current OLAP baseline v1.000175.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Column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15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59" t="str">
        <x:v>Stored source column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OLTP + OLAP</x:v>
      </x:c>
      <x:c r="F8" s="57" t="str">
        <x:v>PII</x:v>
      </x:c>
      <x:c r="G8" s="59" t="str">
        <x:v>Stores the authoritative source value for Telephone.</x:v>
      </x:c>
      <x:c r="H8" s="59" t="str">
        <x:v>Stored source column</x:v>
      </x:c>
    </x:row>
    <x:row r="9" ht="15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LongText</x:v>
      </x:c>
      <x:c r="E9" s="57" t="str">
        <x:v>OLTP + OLAP</x:v>
      </x:c>
      <x:c r="F9" s="57" t="str">
        <x:v>-</x:v>
      </x:c>
      <x:c r="G9" s="59" t="str">
        <x:v>Stores the authoritative source value for Description.</x:v>
      </x:c>
      <x:c r="H9" s="59" t="str">
        <x:v>Stored source column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5" customHeight="1">
      <x:c r="A37" s="57" t="str">
        <x:v>Borrowers</x:v>
      </x:c>
      <x:c r="B37" s="57" t="n">
        <x:v>33</x:v>
      </x:c>
      <x:c r="C37" s="59" t="str">
        <x:v>Todays Collection Charges</x:v>
      </x:c>
      <x:c r="D37" s="59" t="str">
        <x:v>VC / List</x:v>
      </x:c>
      <x:c r="E37" s="57" t="str">
        <x:v>OLTP + OLAP</x:v>
      </x:c>
      <x:c r="F37" s="57" t="str">
        <x:v>-</x:v>
      </x:c>
      <x:c r="G37" s="59" t="str">
        <x:v>Derived date, time-window, age, or delinquency measure.</x:v>
      </x:c>
      <x:c r="H37" s="59" t="str">
        <x:v>SELECT( Charges[Row ID], AND( [Ref Loans].[Ref Borrowers] = [_THISROW].[Row ID], OR( AND( [Payment Status] &lt;&gt; "ชำระแล้ว", [Charge Date] &lt;= TODAY() ), AND( [Payment Status] = "ชำระแล้ว", [Payment Date] = TODAY() ) ) ))</x:v>
      </x:c>
    </x:row>
    <x:row r="38" ht="15" customHeight="1">
      <x:c r="A38" s="57" t="str">
        <x:v>Borrowers</x:v>
      </x:c>
      <x:c r="B38" s="57" t="n">
        <x:v>34</x:v>
      </x:c>
      <x:c r="C38" s="59" t="str">
        <x:v>Todays Amount Due</x:v>
      </x:c>
      <x:c r="D38" s="59" t="str">
        <x:v>VC / Price</x:v>
      </x:c>
      <x:c r="E38" s="57" t="str">
        <x:v>OLTP + OLAP</x:v>
      </x:c>
      <x:c r="F38" s="57" t="str">
        <x:v>-</x:v>
      </x:c>
      <x:c r="G38" s="59" t="str">
        <x:v>Derived date, time-window, age, or delinquency measure.</x:v>
      </x:c>
      <x:c r="H38" s="59" t="str">
        <x:v>SUM([Todays Collection Charges][Amount Due])</x:v>
      </x:c>
    </x:row>
    <x:row r="39" ht="15" customHeight="1">
      <x:c r="A39" s="57" t="str">
        <x:v>Borrowers</x:v>
      </x:c>
      <x:c r="B39" s="57" t="n">
        <x:v>35</x:v>
      </x:c>
      <x:c r="C39" s="59" t="str">
        <x:v>Todays Amount Collected</x:v>
      </x:c>
      <x:c r="D39" s="59" t="str">
        <x:v>VC / Price</x:v>
      </x:c>
      <x:c r="E39" s="57" t="str">
        <x:v>OLTP + OLAP</x:v>
      </x:c>
      <x:c r="F39" s="57" t="str">
        <x:v>-</x:v>
      </x:c>
      <x:c r="G39" s="59" t="str">
        <x:v>Derived date, time-window, age, or delinquency measure.</x:v>
      </x:c>
      <x:c r="H39" s="59" t="str">
        <x:v>SUM([Todays Collection Charges][Total Paid])</x:v>
      </x:c>
    </x:row>
    <x:row r="40" ht="21.600000381469727" customHeight="1">
      <x:c r="A40" s="57" t="str">
        <x:v>Borrowers</x:v>
      </x:c>
      <x:c r="B40" s="57" t="n">
        <x:v>36</x:v>
      </x:c>
      <x:c r="C40" s="59" t="str">
        <x:v>Todays Amount Remaining</x:v>
      </x:c>
      <x:c r="D40" s="59" t="str">
        <x:v>VC / Price</x:v>
      </x:c>
      <x:c r="E40" s="57" t="str">
        <x:v>OLTP + OLAP</x:v>
      </x:c>
      <x:c r="F40" s="57" t="str">
        <x:v>-</x:v>
      </x:c>
      <x:c r="G40" s="59" t="str">
        <x:v>Derived date, time-window, age, or delinquency measure.</x:v>
      </x:c>
      <x:c r="H40" s="59" t="str">
        <x:v>SUM([Todays Collection Charges][Amount Remaining])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5" customHeight="1">
      <x:c r="A65" s="57" t="str">
        <x:v>Borrowers</x:v>
      </x:c>
      <x:c r="B65" s="57" t="n">
        <x:v>61</x:v>
      </x:c>
      <x:c r="C65" s="59" t="str">
        <x:v>Projected Monthly Profit Contribution</x:v>
      </x:c>
      <x:c r="D65" s="59" t="str">
        <x:v>VC / Price</x:v>
      </x:c>
      <x:c r="E65" s="57" t="str">
        <x:v>OLAP only</x:v>
      </x:c>
      <x:c r="F65" s="57" t="str">
        <x:v>Show; 0 decimals; bilingual display name</x:v>
      </x:c>
      <x:c r="G65" s="59" t="str">
        <x:v>Borrower-grain contribution that mirrors Statistics[Projected Monthly Profit] for pie-chart attribution across the full Borrowers population.</x:v>
      </x:c>
      <x:c r="H65" s="59" t="str">
        <x:v>SUM(SELECT(Repayments[Interest Paid], AND([Ref Loans].[Ref Borrowers] = [_THISROW].[Row ID], MONTH([Payment Date]) = MONTH(TODAY()), YEAR([Payment Date]) = YEAR(TODAY())))) + SUM(SELECT(Charges[Interest Remaining], [Ref Loans].[Ref Borrowers] = [_THISROW].[Row ID]))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21.600000381469727" customHeight="1">
      <x:c r="A71" s="57" t="str">
        <x:v>Calendar</x:v>
      </x:c>
      <x:c r="B71" s="57" t="n">
        <x:v>6</x:v>
      </x:c>
      <x:c r="C71" s="59" t="str">
        <x:v>Projected Outstanding Principal</x:v>
      </x:c>
      <x:c r="D71" s="59" t="str">
        <x:v>VC / Price</x:v>
      </x:c>
      <x:c r="E71" s="57" t="str">
        <x:v>OLAP only</x:v>
      </x:c>
      <x:c r="F71" s="57" t="str">
        <x:v>-</x:v>
      </x:c>
      <x:c r="G71" s="59" t="str">
        <x:v>Projected selected-borrower principal. Daily-installment balances start from current Outstanding Principal, subtract only contract principal after the latest posted Charge through the candidate date/Due Date, and do not go below zero.</x:v>
      </x:c>
      <x:c r="H71" s="59" t="str">
        <x:v>SUM(
  SELECT(
    Loans[Outstanding Principal],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[Loan Type] = "ผ่อนชำระรายวัน",
          [Loan Date] &lt;= [_THISROW].[Date]
        )
      )
    )
    - SUM(
      SELECT(
        Calendar[Assessment Installment Future Principal Due],
        [Date] &lt;= [_THISROW].[Date]
      )
    )
  )
)</x:v>
      </x:c>
    </x:row>
    <x:row r="72" ht="21.600000381469727" customHeight="1">
      <x:c r="A72" s="57" t="str">
        <x:v>Calendar</x:v>
      </x:c>
      <x:c r="B72" s="57" t="n">
        <x:v>7</x:v>
      </x:c>
      <x:c r="C72" s="59" t="str">
        <x:v>Projected Interest</x:v>
      </x:c>
      <x:c r="D72" s="59" t="str">
        <x:v>VC / Price</x:v>
      </x:c>
      <x:c r="E72" s="57" t="str">
        <x:v>OLAP only</x:v>
      </x:c>
      <x:c r="F72" s="57" t="str">
        <x:v>-</x:v>
      </x:c>
      <x:c r="G72" s="59" t="str">
        <x:v>Actual selected-borrower interest received plus future daily-interest, fixed-date, and uncharged daily-installment interest. Daily-installment Transfer Fee is not projected again.</x:v>
      </x:c>
      <x:c r="H72" s="59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5" customHeight="1">
      <x:c r="A74" s="57" t="str">
        <x:v>Calendar</x:v>
      </x:c>
      <x:c r="B74" s="57" t="n">
        <x:v>9</x:v>
      </x:c>
      <x:c r="C74" s="59" t="str">
        <x:v>Assessment Principal Base</x:v>
      </x:c>
      <x:c r="D74" s="59" t="str">
        <x:v>VC / Price</x:v>
      </x:c>
      <x:c r="E74" s="57" t="str">
        <x:v>OLAP only</x:v>
      </x:c>
      <x:c r="F74" s="57" t="str">
        <x:v>-</x:v>
      </x:c>
      <x:c r="G74" s="59" t="str">
        <x:v>Principal base used by Minimum Required Profit; daily-installment exposure follows the declining contract balance.</x:v>
      </x:c>
      <x:c r="H74" s="59" t="str">
        <x:v>SUM(
  SELECT(
    Loans[Principal Amount],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[Assessment Installment Contract Outstanding]</x:v>
      </x:c>
    </x:row>
    <x:row r="75" ht="15" customHeight="1">
      <x:c r="A75" s="57" t="str">
        <x:v>Calendar</x:v>
      </x:c>
      <x:c r="B75" s="57" t="n">
        <x:v>10</x:v>
      </x:c>
      <x:c r="C75" s="59" t="str">
        <x:v>Assessment Principal Start Weight</x:v>
      </x:c>
      <x:c r="D75" s="59" t="str">
        <x:v>VC / Decimal</x:v>
      </x:c>
      <x:c r="E75" s="57" t="str">
        <x:v>OLAP only</x:v>
      </x:c>
      <x:c r="F75" s="57" t="str">
        <x:v>-</x:v>
      </x:c>
      <x:c r="G75" s="59" t="str">
        <x:v>Principal-day start weight used by Minimum Required Profit; algebraically preserves cumulative declining daily-installment principal-days.</x:v>
      </x:c>
      <x:c r="H75" s="59" t="str">
        <x:v>SUM(
  SELECT(
    Loans[Principal Start Weight],
    AND(
      [Ref Borrowers] = [_THISROW].[Assessment Borrower],
      [Loan Status] = "ยังไม่ปิดยอด",
      OR(
        [Loan Type] = "ดอกเบี้ยรายวัน",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5" customHeight="1">
      <x:c r="A90" s="57" t="str">
        <x:v>Calendar</x:v>
      </x:c>
      <x:c r="B90" s="57" t="n">
        <x:v>25</x:v>
      </x:c>
      <x:c r="C90" s="59" t="str">
        <x:v>Assessment Installment Contract Principal Due</x:v>
      </x:c>
      <x:c r="D90" s="59" t="str">
        <x:v>VC / Price</x:v>
      </x:c>
      <x:c r="E90" s="57" t="str">
        <x:v>OLAP only</x:v>
      </x:c>
      <x:c r="F90" s="57" t="str">
        <x:v>Hidden; whole baht</x:v>
      </x:c>
      <x:c r="G90" s="59" t="str">
        <x:v>Whole-baht scheduled principal for the candidate Calendar date; FLOOR base plus one baht on the earliest remainder days.</x:v>
      </x:c>
      <x:c r="H90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</x:v>
      </x:c>
    </x:row>
    <x:row r="91" ht="15" customHeight="1">
      <x:c r="A91" s="57" t="str">
        <x:v>Calendar</x:v>
      </x:c>
      <x:c r="B91" s="57" t="n">
        <x:v>26</x:v>
      </x:c>
      <x:c r="C91" s="59" t="str">
        <x:v>Assessment Installment Future Principal Due</x:v>
      </x:c>
      <x:c r="D91" s="59" t="str">
        <x:v>VC / Price</x:v>
      </x:c>
      <x:c r="E91" s="57" t="str">
        <x:v>OLAP only</x:v>
      </x:c>
      <x:c r="F91" s="57" t="str">
        <x:v>Hidden; whole baht</x:v>
      </x:c>
      <x:c r="G91" s="59" t="str">
        <x:v>Whole-baht scheduled principal after each loan's latest posted Charge through its Due Date.</x:v>
      </x:c>
      <x:c r="H91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</x:v>
      </x:c>
    </x:row>
    <x:row r="92" ht="15" customHeight="1">
      <x:c r="A92" s="57" t="str">
        <x:v>Calendar</x:v>
      </x:c>
      <x:c r="B92" s="57" t="n">
        <x:v>27</x:v>
      </x:c>
      <x:c r="C92" s="59" t="str">
        <x:v>Assessment Installment Future Interest Due</x:v>
      </x:c>
      <x:c r="D92" s="59" t="str">
        <x:v>VC / Price</x:v>
      </x:c>
      <x:c r="E92" s="57" t="str">
        <x:v>OLAP only</x:v>
      </x:c>
      <x:c r="F92" s="57" t="str">
        <x:v>Hidden; whole baht</x:v>
      </x:c>
      <x:c r="G92" s="59" t="str">
        <x:v>Scheduled daily-installment payment after the latest Charge minus future scheduled principal; Transfer Fee excluded.</x:v>
      </x:c>
      <x:c r="H92" s="59" t="str">
        <x:v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</x:v>
      </x:c>
    </x:row>
    <x:row r="93" ht="15" customHeight="1">
      <x:c r="A93" s="57" t="str">
        <x:v>Calendar</x:v>
      </x:c>
      <x:c r="B93" s="57" t="n">
        <x:v>28</x:v>
      </x:c>
      <x:c r="C93" s="59" t="str">
        <x:v>Assessment Installment Contract Outstanding</x:v>
      </x:c>
      <x:c r="D93" s="59" t="str">
        <x:v>VC / Price</x:v>
      </x:c>
      <x:c r="E93" s="57" t="str">
        <x:v>OLAP only</x:v>
      </x:c>
      <x:c r="F93" s="57" t="str">
        <x:v>Hidden; whole baht</x:v>
      </x:c>
      <x:c r="G93" s="59" t="str">
        <x:v>Nonnegative deterministic daily-installment contract balance after cumulative scheduled principal through the Calendar date.</x:v>
      </x:c>
      <x:c r="H93" s="59" t="str">
        <x:v>MAX(
  LIST(
    [Assessment Installment Contract Principal Due] * 0,
    SUM(
      SELECT(
        Loans[Principal Amount],
        AND(
          [Ref Borrowers] = [_THISROW].[Assessment Borrower],
          [Loan Status] = "ยังไม่ปิดยอด",
          [Loan Type] = "ผ่อนชำระรายวัน",
          [Loan Date] &lt;= [_THISROW].[Date],
          [Due Date] &gt;= [Loan Date],
          [Daily Payment Amount] &gt; 0
        )
      )
    )
    - SUM(
      SELECT(
        Calendar[Assessment Installment Contract Principal Due],
        [Date] &lt;= [_THISROW].[Date]
      )
    )
  )
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" customHeight="1">
      <x:c r="A107" s="57" t="str">
        <x:v>Charges</x:v>
      </x:c>
      <x:c r="B107" s="57" t="n">
        <x:v>5</x:v>
      </x:c>
      <x:c r="C107" s="59" t="str">
        <x:v>Interest Due</x:v>
      </x:c>
      <x:c r="D107" s="59" t="str">
        <x:v>Physical / Price</x:v>
      </x:c>
      <x:c r="E107" s="57" t="str">
        <x:v>OLTP + OLAP</x:v>
      </x:c>
      <x:c r="F107" s="57" t="str">
        <x:v>Required</x:v>
      </x:c>
      <x:c r="G107" s="59" t="str">
        <x:v>Stores the financially material source value for Interest Due.</x:v>
      </x:c>
      <x:c r="H107" s="59" t="str">
        <x:v>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Daily Analytics</x:v>
      </x:c>
      <x:c r="B130" s="57" t="n">
        <x:v>1</x:v>
      </x:c>
      <x:c r="C130" s="59" t="str">
        <x:v>_RowNumber</x:v>
      </x:c>
      <x:c r="D130" s="59" t="str">
        <x:v>Physical / Number</x:v>
      </x:c>
      <x:c r="E130" s="57" t="str">
        <x:v>OLAP only</x:v>
      </x:c>
      <x:c r="F130" s="57" t="str">
        <x:v>-</x:v>
      </x:c>
      <x:c r="G130" s="59" t="str">
        <x:v>System-generated source-row ordinal; not a stable business key.</x:v>
      </x:c>
      <x:c r="H130" s="59" t="str">
        <x:v>Stored source column</x:v>
      </x:c>
    </x:row>
    <x:row r="131" ht="15" customHeight="1">
      <x:c r="A131" s="57" t="str">
        <x:v>Daily Analytics</x:v>
      </x:c>
      <x:c r="B131" s="57" t="n">
        <x:v>2</x:v>
      </x:c>
      <x:c r="C131" s="59" t="str">
        <x:v>Row ID</x:v>
      </x:c>
      <x:c r="D131" s="59" t="str">
        <x:v>Physical / Text</x:v>
      </x:c>
      <x:c r="E131" s="57" t="str">
        <x:v>OLAP only</x:v>
      </x:c>
      <x:c r="F131" s="57" t="str">
        <x:v>Key, Required</x:v>
      </x:c>
      <x:c r="G131" s="59" t="str">
        <x:v>Immutable row key generated by the source database.</x:v>
      </x:c>
      <x:c r="H131" s="59" t="str">
        <x:v>Stored source column; initial value: UNIQUEID("PackedUUID")</x:v>
      </x:c>
    </x:row>
    <x:row r="132" ht="15" customHeight="1">
      <x:c r="A132" s="57" t="str">
        <x:v>Daily Analytics</x:v>
      </x:c>
      <x:c r="B132" s="57" t="n">
        <x:v>3</x:v>
      </x:c>
      <x:c r="C132" s="59" t="str">
        <x:v>Snapshot Date</x:v>
      </x:c>
      <x:c r="D132" s="59" t="str">
        <x:v>Physical / Date</x:v>
      </x:c>
      <x:c r="E132" s="57" t="str">
        <x:v>OLAP only</x:v>
      </x:c>
      <x:c r="F132" s="57" t="str">
        <x:v>Label</x:v>
      </x:c>
      <x:c r="G132" s="59" t="str">
        <x:v>Stores the source date for Snapshot Date.</x:v>
      </x:c>
      <x:c r="H132" s="59" t="str">
        <x:v>Stored source column; initial value: TODAY()</x:v>
      </x:c>
    </x:row>
    <x:row r="133" ht="15" customHeight="1">
      <x:c r="A133" s="57" t="str">
        <x:v>Daily Analytics</x:v>
      </x:c>
      <x:c r="B133" s="57" t="n">
        <x:v>4</x:v>
      </x:c>
      <x:c r="C133" s="59" t="str">
        <x:v>Generated At</x:v>
      </x:c>
      <x:c r="D133" s="59" t="str">
        <x:v>Physical / DateTime</x:v>
      </x:c>
      <x:c r="E133" s="57" t="str">
        <x:v>OLAP only</x:v>
      </x:c>
      <x:c r="F133" s="57" t="str">
        <x:v>-</x:v>
      </x:c>
      <x:c r="G133" s="59" t="str">
        <x:v>Stores the authoritative source value for Generated At.</x:v>
      </x:c>
      <x:c r="H133" s="59" t="str">
        <x:v>Stored source column; initial value: NOW()</x:v>
      </x:c>
    </x:row>
    <x:row r="134" ht="15" customHeight="1">
      <x:c r="A134" s="57" t="str">
        <x:v>Daily Analytics</x:v>
      </x:c>
      <x:c r="B134" s="57" t="n">
        <x:v>5</x:v>
      </x:c>
      <x:c r="C134" s="59" t="str">
        <x:v>Model Version</x:v>
      </x:c>
      <x:c r="D134" s="59" t="str">
        <x:v>Physical / Number</x:v>
      </x:c>
      <x:c r="E134" s="57" t="str">
        <x:v>OLAP only</x:v>
      </x:c>
      <x:c r="F134" s="57" t="str">
        <x:v>-</x:v>
      </x:c>
      <x:c r="G134" s="59" t="str">
        <x:v>Stores the authoritative source value for Model Version.</x:v>
      </x:c>
      <x:c r="H134" s="59" t="str">
        <x:v>Stored source column</x:v>
      </x:c>
    </x:row>
    <x:row r="135" ht="15" customHeight="1">
      <x:c r="A135" s="57" t="str">
        <x:v>Daily Analytics</x:v>
      </x:c>
      <x:c r="B135" s="57" t="n">
        <x:v>6</x:v>
      </x:c>
      <x:c r="C135" s="59" t="str">
        <x:v>Principal Issued</x:v>
      </x:c>
      <x:c r="D135" s="59" t="str">
        <x:v>Physical / Price</x:v>
      </x:c>
      <x:c r="E135" s="57" t="str">
        <x:v>OLAP only</x:v>
      </x:c>
      <x:c r="F135" s="57" t="str">
        <x:v>-</x:v>
      </x:c>
      <x:c r="G135" s="59" t="str">
        <x:v>Stores the financially material source value for Principal Issued.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7</x:v>
      </x:c>
      <x:c r="C136" s="59" t="str">
        <x:v>Loans Issued</x:v>
      </x:c>
      <x:c r="D136" s="59" t="str">
        <x:v>Physical / Number</x:v>
      </x:c>
      <x:c r="E136" s="57" t="str">
        <x:v>OLAP only</x:v>
      </x:c>
      <x:c r="F136" s="57" t="str">
        <x:v>-</x:v>
      </x:c>
      <x:c r="G136" s="59" t="str">
        <x:v>Stores the authoritative source value for Loans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8</x:v>
      </x:c>
      <x:c r="C137" s="59" t="str">
        <x:v>Principal Returned</x:v>
      </x:c>
      <x:c r="D137" s="59" t="str">
        <x:v>Physical / Price</x:v>
      </x:c>
      <x:c r="E137" s="57" t="str">
        <x:v>OLAP only</x:v>
      </x:c>
      <x:c r="F137" s="57" t="str">
        <x:v>-</x:v>
      </x:c>
      <x:c r="G137" s="59" t="str">
        <x:v>Stores the financially material source value for Principal Returned.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9</x:v>
      </x:c>
      <x:c r="C138" s="59" t="str">
        <x:v>Interest Received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Interest Received.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10</x:v>
      </x:c>
      <x:c r="C139" s="59" t="str">
        <x:v>Repayments Count</x:v>
      </x:c>
      <x:c r="D139" s="59" t="str">
        <x:v>Physical / Number</x:v>
      </x:c>
      <x:c r="E139" s="57" t="str">
        <x:v>OLAP only</x:v>
      </x:c>
      <x:c r="F139" s="57" t="str">
        <x:v>-</x:v>
      </x:c>
      <x:c r="G139" s="59" t="str">
        <x:v>Stores the authoritative source value for Repayments Count.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11</x:v>
      </x:c>
      <x:c r="C140" s="59" t="str">
        <x:v>Outstanding Principal EOD</x:v>
      </x:c>
      <x:c r="D140" s="59" t="str">
        <x:v>Physical / Price</x:v>
      </x:c>
      <x:c r="E140" s="57" t="str">
        <x:v>OLAP only</x:v>
      </x:c>
      <x:c r="F140" s="57" t="str">
        <x:v>-</x:v>
      </x:c>
      <x:c r="G140" s="59" t="str">
        <x:v>Stores the financially material source value for Outstanding Principal EOD.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12</x:v>
      </x:c>
      <x:c r="C141" s="59" t="str">
        <x:v>Active Loans EOD</x:v>
      </x:c>
      <x:c r="D141" s="59" t="str">
        <x:v>Physical / Number</x:v>
      </x:c>
      <x:c r="E141" s="57" t="str">
        <x:v>OLAP only</x:v>
      </x:c>
      <x:c r="F141" s="57" t="str">
        <x:v>-</x:v>
      </x:c>
      <x:c r="G141" s="59" t="str">
        <x:v>Stores the authoritative source value for Active Loans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13</x:v>
      </x:c>
      <x:c r="C142" s="59" t="str">
        <x:v>Active Borrowers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Borrowers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14</x:v>
      </x:c>
      <x:c r="C143" s="59" t="str">
        <x:v>Pending Charges EOD</x:v>
      </x:c>
      <x:c r="D143" s="59" t="str">
        <x:v>Physical / Price</x:v>
      </x:c>
      <x:c r="E143" s="57" t="str">
        <x:v>OLAP only</x:v>
      </x:c>
      <x:c r="F143" s="57" t="str">
        <x:v>-</x:v>
      </x:c>
      <x:c r="G143" s="59" t="str">
        <x:v>Stores the authoritative source value for Pending Charges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15</x:v>
      </x:c>
      <x:c r="C144" s="59" t="str">
        <x:v>Total Cash Pool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financially material source value for Total Cash Pool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16</x:v>
      </x:c>
      <x:c r="C145" s="59" t="str">
        <x:v>Available Cash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Available Cash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17</x:v>
      </x:c>
      <x:c r="C146" s="59" t="str">
        <x:v>Unsettled Profit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Unsettled Profit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18</x:v>
      </x:c>
      <x:c r="C147" s="59" t="str">
        <x:v>Week</x:v>
      </x:c>
      <x:c r="D147" s="59" t="str">
        <x:v>VC / Text</x:v>
      </x:c>
      <x:c r="E147" s="57" t="str">
        <x:v>OLAP only</x:v>
      </x:c>
      <x:c r="F147" s="57" t="str">
        <x:v>-</x:v>
      </x:c>
      <x:c r="G147" s="59" t="str">
        <x:v>Derived date, time-window, age, or delinquency measure.</x:v>
      </x:c>
      <x:c r="H147" s="59" t="str">
        <x:v>CONCATENATE( YEAR([Snapshot Date]), "-W", WEEKNUM([Snapshot Date]))</x:v>
      </x:c>
    </x:row>
    <x:row r="148" ht="15" customHeight="1">
      <x:c r="A148" s="57" t="str">
        <x:v>Daily Analytics</x:v>
      </x:c>
      <x:c r="B148" s="57" t="n">
        <x:v>19</x:v>
      </x:c>
      <x:c r="C148" s="59" t="str">
        <x:v>Month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"-", RIGHT( "0" &amp; MONTH([Snapshot Date]), 2 ))</x:v>
      </x:c>
    </x:row>
    <x:row r="149" ht="15" customHeight="1">
      <x:c r="A149" s="57" t="str">
        <x:v>Daily Analytics</x:v>
      </x:c>
      <x:c r="B149" s="57" t="n">
        <x:v>20</x:v>
      </x:c>
      <x:c r="C149" s="59" t="str">
        <x:v>Daily Capital Employed</x:v>
      </x:c>
      <x:c r="D149" s="59" t="str">
        <x:v>VC / Price</x:v>
      </x:c>
      <x:c r="E149" s="57" t="str">
        <x:v>OLAP only</x:v>
      </x:c>
      <x:c r="F149" s="57" t="str">
        <x:v>-</x:v>
      </x:c>
      <x:c r="G149" s="59" t="str">
        <x:v>Derived AppSheet value used by the app workflow, presentation, or reporting model.</x:v>
      </x:c>
      <x:c r="H149" s="59" t="str">
        <x:v>[Outstanding Principal EOD]+[Principal Returned]</x:v>
      </x:c>
    </x:row>
    <x:row r="150" ht="15" customHeight="1">
      <x:c r="A150" s="57" t="str">
        <x:v>Daily Analytics</x:v>
      </x:c>
      <x:c r="B150" s="57" t="n">
        <x:v>21</x:v>
      </x:c>
      <x:c r="C150" s="59" t="str">
        <x:v>Daily Capital Yield</x:v>
      </x:c>
      <x:c r="D150" s="59" t="str">
        <x:v>VC / Percent</x:v>
      </x:c>
      <x:c r="E150" s="57" t="str">
        <x:v>OLAP only</x:v>
      </x:c>
      <x:c r="F150" s="57" t="str">
        <x:v>-</x:v>
      </x:c>
      <x:c r="G150" s="59" t="str">
        <x:v>Derived ratio or performance measure calculated from governed source values.</x:v>
      </x:c>
      <x:c r="H150" s="59" t="str">
        <x:v>IF( [Daily Capital Employed] &gt; 0, [Interest Received] / [Daily Capital Employed], 0)</x:v>
      </x:c>
    </x:row>
    <x:row r="151" ht="15" customHeight="1">
      <x:c r="A151" s="57" t="str">
        <x:v>Daily Analytics</x:v>
      </x:c>
      <x:c r="B151" s="57" t="n">
        <x:v>22</x:v>
      </x:c>
      <x:c r="C151" s="59" t="str">
        <x:v>Portfolio Share Join Key</x:v>
      </x:c>
      <x:c r="D151" s="59" t="str">
        <x:v>VC / Text</x:v>
      </x:c>
      <x:c r="E151" s="57" t="str">
        <x:v>OLAP only</x:v>
      </x:c>
      <x:c r="F151" s="57" t="str">
        <x:v>-</x:v>
      </x:c>
      <x:c r="G151" s="59" t="str">
        <x:v>Derived grouping, ordering, or join value used by reporting or app presentation.</x:v>
      </x:c>
      <x:c r="H151" s="59" t="str">
        <x:v>"Portfolio"</x:v>
      </x:c>
    </x:row>
    <x:row r="152" ht="21.600000381469727" customHeight="1">
      <x:c r="A152" s="57" t="str">
        <x:v>Daily Analytics</x:v>
      </x:c>
      <x:c r="B152" s="57" t="n">
        <x:v>23</x:v>
      </x:c>
      <x:c r="C152" s="59" t="str">
        <x:v>Portfolio Slice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IF(MOD(DAY([Snapshot Date]), 2) = 0, "Selected borrower", "Remaining")</x:v>
      </x:c>
    </x:row>
    <x:row r="153" ht="21.600000381469727" customHeight="1">
      <x:c r="A153" s="57" t="str">
        <x:v>Loan Assessment</x:v>
      </x:c>
      <x:c r="B153" s="57" t="n">
        <x:v>1</x:v>
      </x:c>
      <x:c r="C153" s="59" t="str">
        <x:v>_RowNumber</x:v>
      </x:c>
      <x:c r="D153" s="59" t="str">
        <x:v>Physical / Number</x:v>
      </x:c>
      <x:c r="E153" s="57" t="str">
        <x:v>OLAP only</x:v>
      </x:c>
      <x:c r="F153" s="57" t="str">
        <x:v>-</x:v>
      </x:c>
      <x:c r="G153" s="59" t="str">
        <x:v>System-generated source-row ordinal; not a stable business key.</x:v>
      </x:c>
      <x:c r="H153" s="59" t="str">
        <x:v>Stored source column</x:v>
      </x:c>
    </x:row>
    <x:row r="154" ht="15" customHeight="1">
      <x:c r="A154" s="57" t="str">
        <x:v>Loan Assessment</x:v>
      </x:c>
      <x:c r="B154" s="57" t="n">
        <x:v>2</x:v>
      </x:c>
      <x:c r="C154" s="59" t="str">
        <x:v>Row ID</x:v>
      </x:c>
      <x:c r="D154" s="59" t="str">
        <x:v>Physical / Text</x:v>
      </x:c>
      <x:c r="E154" s="57" t="str">
        <x:v>OLAP only</x:v>
      </x:c>
      <x:c r="F154" s="57" t="str">
        <x:v>Key, Required</x:v>
      </x:c>
      <x:c r="G154" s="59" t="str">
        <x:v>Immutable row key generated by the source database.</x:v>
      </x:c>
      <x:c r="H154" s="59" t="str">
        <x:v>Stored source column; initial value: UNIQUEID("PackedUUID")</x:v>
      </x:c>
    </x:row>
    <x:row r="155" ht="15" customHeight="1">
      <x:c r="A155" s="57" t="str">
        <x:v>Loan Assessment</x:v>
      </x:c>
      <x:c r="B155" s="57" t="n">
        <x:v>3</x:v>
      </x:c>
      <x:c r="C155" s="59" t="str">
        <x:v>Assessment ID</x:v>
      </x:c>
      <x:c r="D155" s="59" t="str">
        <x:v>Physical / Text</x:v>
      </x:c>
      <x:c r="E155" s="57" t="str">
        <x:v>OLAP only</x:v>
      </x:c>
      <x:c r="F155" s="57" t="str">
        <x:v>Label</x:v>
      </x:c>
      <x:c r="G155" s="59" t="str">
        <x:v>Stores the authoritative source value for Assessment ID.</x:v>
      </x:c>
      <x:c r="H155" s="59" t="str">
        <x:v>Stored source column</x:v>
      </x:c>
    </x:row>
    <x:row r="156" ht="15" customHeight="1">
      <x:c r="A156" s="57" t="str">
        <x:v>Loan Assessment</x:v>
      </x:c>
      <x:c r="B156" s="57" t="n">
        <x:v>4</x:v>
      </x:c>
      <x:c r="C156" s="59" t="str">
        <x:v>Ref Borrower</x:v>
      </x:c>
      <x:c r="D156" s="59" t="str">
        <x:v>Physical / Ref</x:v>
      </x:c>
      <x:c r="E156" s="57" t="str">
        <x:v>OLAP only</x:v>
      </x:c>
      <x:c r="F156" s="57" t="str">
        <x:v>-</x:v>
      </x:c>
      <x:c r="G156" s="59" t="str">
        <x:v>Reference key that links this row to the configured parent table.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5</x:v>
      </x:c>
      <x:c r="C157" s="59" t="str">
        <x:v>Proposed Loan Amount</x:v>
      </x:c>
      <x:c r="D157" s="59" t="str">
        <x:v>Physical / Price</x:v>
      </x:c>
      <x:c r="E157" s="57" t="str">
        <x:v>OLAP only</x:v>
      </x:c>
      <x:c r="F157" s="57" t="str">
        <x:v>-</x:v>
      </x:c>
      <x:c r="G157" s="59" t="str">
        <x:v>Stores the financially material source value for Proposed Loan Amount.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6</x:v>
      </x:c>
      <x:c r="C158" s="59" t="str">
        <x:v>Minimum Daily Profit Rate</x:v>
      </x:c>
      <x:c r="D158" s="59" t="str">
        <x:v>Physical / Percent</x:v>
      </x:c>
      <x:c r="E158" s="57" t="str">
        <x:v>OLAP only</x:v>
      </x:c>
      <x:c r="F158" s="57" t="str">
        <x:v>-</x:v>
      </x:c>
      <x:c r="G158" s="59" t="str">
        <x:v>Stores the financially material source value for Minimum Daily Profit Rate.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7</x:v>
      </x:c>
      <x:c r="C159" s="59" t="str">
        <x:v>Current Outstanding Principal</x:v>
      </x:c>
      <x:c r="D159" s="59" t="str">
        <x:v>VC / Price</x:v>
      </x:c>
      <x:c r="E159" s="57" t="str">
        <x:v>OLAP only</x:v>
      </x:c>
      <x:c r="F159" s="57" t="str">
        <x:v>-</x:v>
      </x:c>
      <x:c r="G159" s="59" t="str">
        <x:v>Derived financial aggregate or balance for operational or analytical use.</x:v>
      </x:c>
      <x:c r="H159" s="59" t="str">
        <x:v>SUM( SELECT( Loans[Outstanding Principal], AND([Ref Borrowers] = [_THISROW].[Ref Borrower], [Loan Status] = "ยังไม่ปิดยอด") ))</x:v>
      </x:c>
    </x:row>
    <x:row r="160" ht="15" customHeight="1">
      <x:c r="A160" s="57" t="str">
        <x:v>Loan Assessment</x:v>
      </x:c>
      <x:c r="B160" s="57" t="n">
        <x:v>8</x:v>
      </x:c>
      <x:c r="C160" s="59" t="str">
        <x:v>Interest Earned from Active Loans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count used for workload, portfolio, or risk analysis.</x:v>
      </x:c>
      <x:c r="H160" s="59" t="str">
        <x:v>SUM( SELECT( Loans[Total Interest Received],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9</x:v>
      </x:c>
      <x:c r="C161" s="59" t="str">
        <x:v>Earliest Eligible Date</x:v>
      </x:c>
      <x:c r="D161" s="59" t="str">
        <x:v>VC / Date</x:v>
      </x:c>
      <x:c r="E161" s="57" t="str">
        <x:v>OLAP only</x:v>
      </x:c>
      <x:c r="F161" s="57" t="str">
        <x:v>-</x:v>
      </x:c>
      <x:c r="G161" s="59" t="str">
        <x:v>Derived business-state or risk indicator.</x:v>
      </x:c>
      <x:c r="H161" s="59" t="str">
        <x:v>MIN(SELECT(Calendar[Date], AND([Date] &gt;= TODAY(), [Eligible] = TRUE)))</x:v>
      </x:c>
    </x:row>
    <x:row r="162" ht="15" customHeight="1">
      <x:c r="A162" s="57" t="str">
        <x:v>Loan Assessment</x:v>
      </x:c>
      <x:c r="B162" s="57" t="n">
        <x:v>10</x:v>
      </x:c>
      <x:c r="C162" s="59" t="str">
        <x:v>Days Until Eligible</x:v>
      </x:c>
      <x:c r="D162" s="59" t="str">
        <x:v>VC / Number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IF( ISBLANK([Earliest Eligible Date]), "", TOTALHOURS([Earliest Eligible Date] - TODAY()) / 24)</x:v>
      </x:c>
    </x:row>
    <x:row r="163" ht="21.600000381469727" customHeight="1">
      <x:c r="A163" s="57" t="str">
        <x:v>Loan Assessment</x:v>
      </x:c>
      <x:c r="B163" s="57" t="n">
        <x:v>11</x:v>
      </x:c>
      <x:c r="C163" s="59" t="str">
        <x:v>Projected Interest at Eligible Date</x:v>
      </x:c>
      <x:c r="D163" s="59" t="str">
        <x:v>VC / Price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LOOKUP([Earliest Eligible Date], "Calendar", "Date", "Projected Interest")</x:v>
      </x:c>
    </x:row>
    <x:row r="164" ht="64.80000305175781" customHeight="1">
      <x:c r="A164" s="57" t="str">
        <x:v>Loan Assessment</x:v>
      </x:c>
      <x:c r="B164" s="57" t="n">
        <x:v>12</x:v>
      </x:c>
      <x:c r="C164" s="59" t="str">
        <x:v>Outstanding Principal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 [Earliest Eligible Date], "Calendar", "Date", "Projected Outstanding Principal")</x:v>
      </x:c>
    </x:row>
    <x:row r="165" ht="15" customHeight="1">
      <x:c r="A165" s="57" t="str">
        <x:v>Loan Assessment</x:v>
      </x:c>
      <x:c r="B165" s="57" t="n">
        <x:v>13</x:v>
      </x:c>
      <x:c r="C165" s="59" t="str">
        <x:v>Minimum Profit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"Minimum Required Profit")</x:v>
      </x:c>
    </x:row>
    <x:row r="166" ht="15" customHeight="1">
      <x:c r="A166" s="57" t="str">
        <x:v>Loan Assessment</x:v>
      </x:c>
      <x:c r="B166" s="57" t="n">
        <x:v>14</x:v>
      </x:c>
      <x:c r="C166" s="59" t="str">
        <x:v>Required Coverage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ratio or performance measure calculated from governed source values.</x:v>
      </x:c>
      <x:c r="H166" s="59" t="str">
        <x:v>LOOKUP( [Earliest Eligible Date], "Calendar", "Date", "Required Coverage")</x:v>
      </x:c>
    </x:row>
    <x:row r="167" ht="15" customHeight="1">
      <x:c r="A167" s="57" t="str">
        <x:v>Loan Assessment</x:v>
      </x:c>
      <x:c r="B167" s="57" t="n">
        <x:v>15</x:v>
      </x:c>
      <x:c r="C167" s="59" t="str">
        <x:v>Safety Margin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AppSheet value used by the app workflow, presentation, or reporting model.</x:v>
      </x:c>
      <x:c r="H167" s="59" t="str">
        <x:v>LOOKUP( [Earliest Eligible Date], "Calendar", "Date", "Coverage Margin")</x:v>
      </x:c>
    </x:row>
    <x:row r="168" ht="15" customHeight="1">
      <x:c r="A168" s="57" t="str">
        <x:v>Loan Assessment</x:v>
      </x:c>
      <x:c r="B168" s="57" t="n">
        <x:v>16</x:v>
      </x:c>
      <x:c r="C168" s="59" t="str">
        <x:v>Current Coverage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ratio or performance measure calculated from governed source values.</x:v>
      </x:c>
      <x:c r="H168" s="59" t="str">
        <x:v>LOOKUP( TODAY(), "Calendar", "Date", "Coverage Margin")</x:v>
      </x:c>
    </x:row>
    <x:row r="169" ht="15" customHeight="1">
      <x:c r="A169" s="57" t="str">
        <x:v>Loan Assessment</x:v>
      </x:c>
      <x:c r="B169" s="57" t="n">
        <x:v>17</x:v>
      </x:c>
      <x:c r="C169" s="59" t="str">
        <x:v>Coverage Ratio at Eligible Date</x:v>
      </x:c>
      <x:c r="D169" s="59" t="str">
        <x:v>VC / Percent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IF( [Required Coverage at Eligible Date] &gt; 0, [Projected Interest at Eligible Date] / [Required Coverage at Eligible Date], 0)</x:v>
      </x:c>
    </x:row>
    <x:row r="170" ht="15" customHeight="1">
      <x:c r="A170" s="57" t="str">
        <x:v>Loan Assessment</x:v>
      </x:c>
      <x:c r="B170" s="57" t="n">
        <x:v>18</x:v>
      </x:c>
      <x:c r="C170" s="59" t="str">
        <x:v>Recommendation Status</x:v>
      </x:c>
      <x:c r="D170" s="59" t="str">
        <x:v>VC / Text</x:v>
      </x:c>
      <x:c r="E170" s="57" t="str">
        <x:v>OLAP only</x:v>
      </x:c>
      <x:c r="F170" s="57" t="str">
        <x:v>-</x:v>
      </x:c>
      <x:c r="G170" s="59" t="str">
        <x:v>Derived business-state or risk indicator.</x:v>
      </x:c>
      <x:c r="H170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1" ht="15" customHeight="1">
      <x:c r="A171" s="57" t="str">
        <x:v>Loan Assessment</x:v>
      </x:c>
      <x:c r="B171" s="57" t="n">
        <x:v>19</x:v>
      </x:c>
      <x:c r="C171" s="59" t="str">
        <x:v>Recommendation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AppSheet value used by the app workflow, presentation, or reporting model.</x:v>
      </x:c>
      <x:c r="H171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2" ht="15" customHeight="1">
      <x:c r="A172" s="57" t="str">
        <x:v>Loan Assessment</x:v>
      </x:c>
      <x:c r="B172" s="57" t="n">
        <x:v>20</x:v>
      </x:c>
      <x:c r="C172" s="59" t="str">
        <x:v>Header - Current Position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Presentation-oriented label or bilingual display value.</x:v>
      </x:c>
      <x:c r="H172" s="59" t="str">
        <x:v>"──── สถานะปัจจุบัน / Current Position ────"</x:v>
      </x:c>
    </x:row>
    <x:row r="173" ht="15" customHeight="1">
      <x:c r="A173" s="57" t="str">
        <x:v>Loan Assessment</x:v>
      </x:c>
      <x:c r="B173" s="57" t="n">
        <x:v>21</x:v>
      </x:c>
      <x:c r="C173" s="59" t="str">
        <x:v>Header - Recommendation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คำแนะนำ / Recommendation ────"</x:v>
      </x:c>
    </x:row>
    <x:row r="174" ht="15" customHeight="1">
      <x:c r="A174" s="57" t="str">
        <x:v>Loan Assessment</x:v>
      </x:c>
      <x:c r="B174" s="57" t="n">
        <x:v>22</x:v>
      </x:c>
      <x:c r="C174" s="59" t="str">
        <x:v>Header - Calculation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รายละเอียดการคำนวณ / Calculation ────"</x:v>
      </x:c>
    </x:row>
    <x:row r="175" ht="15" customHeight="1">
      <x:c r="A175" s="57" t="str">
        <x:v>Loans</x:v>
      </x:c>
      <x:c r="B175" s="57" t="n">
        <x:v>1</x:v>
      </x:c>
      <x:c r="C175" s="59" t="str">
        <x:v>_RowNumber</x:v>
      </x:c>
      <x:c r="D175" s="59" t="str">
        <x:v>Physical / Number</x:v>
      </x:c>
      <x:c r="E175" s="57" t="str">
        <x:v>OLTP + OLAP</x:v>
      </x:c>
      <x:c r="F175" s="57" t="str">
        <x:v>-</x:v>
      </x:c>
      <x:c r="G175" s="59" t="str">
        <x:v>System-generated source-row ordinal; not a stable business key.</x:v>
      </x:c>
      <x:c r="H175" s="59" t="str">
        <x:v>Stored source column</x:v>
      </x:c>
    </x:row>
    <x:row r="176" ht="15" customHeight="1">
      <x:c r="A176" s="57" t="str">
        <x:v>Loans</x:v>
      </x:c>
      <x:c r="B176" s="57" t="n">
        <x:v>2</x:v>
      </x:c>
      <x:c r="C176" s="59" t="str">
        <x:v>Row ID</x:v>
      </x:c>
      <x:c r="D176" s="59" t="str">
        <x:v>Physical / Text</x:v>
      </x:c>
      <x:c r="E176" s="57" t="str">
        <x:v>OLTP + OLAP</x:v>
      </x:c>
      <x:c r="F176" s="57" t="str">
        <x:v>Key, Required</x:v>
      </x:c>
      <x:c r="G176" s="59" t="str">
        <x:v>Immutable row key generated by the source database.</x:v>
      </x:c>
      <x:c r="H176" s="59" t="str">
        <x:v>Stored source column; initial value: UNIQUEID("PackedUUID")</x:v>
      </x:c>
    </x:row>
    <x:row r="177" ht="15" customHeight="1">
      <x:c r="A177" s="57" t="str">
        <x:v>Loans</x:v>
      </x:c>
      <x:c r="B177" s="57" t="n">
        <x:v>3</x:v>
      </x:c>
      <x:c r="C177" s="59" t="str">
        <x:v>Loan Date</x:v>
      </x:c>
      <x:c r="D177" s="59" t="str">
        <x:v>Physical / Date</x:v>
      </x:c>
      <x:c r="E177" s="57" t="str">
        <x:v>OLTP + OLAP</x:v>
      </x:c>
      <x:c r="F177" s="57" t="str">
        <x:v>OLTP: Required; OLAP: -</x:v>
      </x:c>
      <x:c r="G177" s="59" t="str">
        <x:v>Stores the source date for Loan Date.</x:v>
      </x:c>
      <x:c r="H177" s="59" t="str">
        <x:v>Stored source column; initial value: TODAY()</x:v>
      </x:c>
    </x:row>
    <x:row r="178" ht="15" customHeight="1">
      <x:c r="A178" s="57" t="str">
        <x:v>Loans</x:v>
      </x:c>
      <x:c r="B178" s="57" t="n">
        <x:v>4</x:v>
      </x:c>
      <x:c r="C178" s="59" t="str">
        <x:v>Close Date</x:v>
      </x:c>
      <x:c r="D178" s="59" t="str">
        <x:v>Physical / Date</x:v>
      </x:c>
      <x:c r="E178" s="57" t="str">
        <x:v>OLTP + OLAP</x:v>
      </x:c>
      <x:c r="F178" s="57" t="str">
        <x:v>-</x:v>
      </x:c>
      <x:c r="G178" s="59" t="str">
        <x:v>Stores the source date for Close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5</x:v>
      </x:c>
      <x:c r="C179" s="59" t="str">
        <x:v>Principal Amount</x:v>
      </x:c>
      <x:c r="D179" s="59" t="str">
        <x:v>Physical / Price</x:v>
      </x:c>
      <x:c r="E179" s="57" t="str">
        <x:v>OLTP + OLAP</x:v>
      </x:c>
      <x:c r="F179" s="57" t="str">
        <x:v>OLTP: Required; OLAP: -</x:v>
      </x:c>
      <x:c r="G179" s="59" t="str">
        <x:v>Stores the financially material source value for Principal Amount.</x:v>
      </x:c>
      <x:c r="H179" s="59" t="str">
        <x:v>Stored source column</x:v>
      </x:c>
    </x:row>
    <x:row r="180" ht="15" customHeight="1">
      <x:c r="A180" s="57" t="str">
        <x:v>Loans</x:v>
      </x:c>
      <x:c r="B180" s="57" t="n">
        <x:v>6</x:v>
      </x:c>
      <x:c r="C180" s="59" t="str">
        <x:v>Due Date</x:v>
      </x:c>
      <x:c r="D180" s="59" t="str">
        <x:v>Physical / Date</x:v>
      </x:c>
      <x:c r="E180" s="57" t="str">
        <x:v>OLTP + OLAP</x:v>
      </x:c>
      <x:c r="F180" s="57" t="str">
        <x:v>-</x:v>
      </x:c>
      <x:c r="G180" s="59" t="str">
        <x:v>Stores the source date for Due Date.</x:v>
      </x:c>
      <x:c r="H180" s="59" t="str">
        <x:v>Stored source column; initial value: TODAY()</x:v>
      </x:c>
    </x:row>
    <x:row r="181" ht="15" customHeight="1">
      <x:c r="A181" s="57" t="str">
        <x:v>Loans</x:v>
      </x:c>
      <x:c r="B181" s="57" t="n">
        <x:v>7</x:v>
      </x:c>
      <x:c r="C181" s="59" t="str">
        <x:v>Ref Borrowers</x:v>
      </x:c>
      <x:c r="D181" s="59" t="str">
        <x:v>Physical / Ref</x:v>
      </x:c>
      <x:c r="E181" s="57" t="str">
        <x:v>OLTP + OLAP</x:v>
      </x:c>
      <x:c r="F181" s="57" t="str">
        <x:v>-</x:v>
      </x:c>
      <x:c r="G181" s="59" t="str">
        <x:v>Reference key that links this row to the configured parent table.</x:v>
      </x:c>
      <x:c r="H181" s="59" t="str">
        <x:v>Stored source column</x:v>
      </x:c>
    </x:row>
    <x:row r="182" ht="15" customHeight="1">
      <x:c r="A182" s="57" t="str">
        <x:v>Loans</x:v>
      </x:c>
      <x:c r="B182" s="57" t="n">
        <x:v>8</x:v>
      </x:c>
      <x:c r="C182" s="59" t="str">
        <x:v>Loan Arrangement</x:v>
      </x:c>
      <x:c r="D182" s="59" t="str">
        <x:v>Physical / LongText</x:v>
      </x:c>
      <x:c r="E182" s="57" t="str">
        <x:v>OLTP + OLAP</x:v>
      </x:c>
      <x:c r="F182" s="57" t="str">
        <x:v>-</x:v>
      </x:c>
      <x:c r="G182" s="59" t="str">
        <x:v>Stores the authoritative source value for Loan Arrangement.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9</x:v>
      </x:c>
      <x:c r="C183" s="59" t="str">
        <x:v>Loan Status</x:v>
      </x:c>
      <x:c r="D183" s="59" t="str">
        <x:v>Physical / Enum</x:v>
      </x:c>
      <x:c r="E183" s="57" t="str">
        <x:v>OLTP + OLAP</x:v>
      </x:c>
      <x:c r="F183" s="57" t="str">
        <x:v>OLTP: Required; OLAP: -</x:v>
      </x:c>
      <x:c r="G183" s="59" t="str">
        <x:v>Stores the controlled workflow state for Loan Status.</x:v>
      </x:c>
      <x:c r="H183" s="59" t="str">
        <x:v>Stored source column; initial value: "ยังไม่ปิดยอด"</x:v>
      </x:c>
    </x:row>
    <x:row r="184" ht="15" customHeight="1">
      <x:c r="A184" s="57" t="str">
        <x:v>Loans</x:v>
      </x:c>
      <x:c r="B184" s="57" t="n">
        <x:v>10</x:v>
      </x:c>
      <x:c r="C184" s="59" t="str">
        <x:v>Borrower Name</x:v>
      </x:c>
      <x:c r="D184" s="59" t="str">
        <x:v>Physical / Name</x:v>
      </x:c>
      <x:c r="E184" s="57" t="str">
        <x:v>OLTP + OLAP</x:v>
      </x:c>
      <x:c r="F184" s="57" t="str">
        <x:v>-</x:v>
      </x:c>
      <x:c r="G184" s="59" t="str">
        <x:v>Stores the authoritative source value for Borrower Name.</x:v>
      </x:c>
      <x:c r="H184" s="59" t="str">
        <x:v>Stored source column</x:v>
      </x:c>
    </x:row>
    <x:row r="185" ht="15" customHeight="1">
      <x:c r="A185" s="57" t="str">
        <x:v>Loans</x:v>
      </x:c>
      <x:c r="B185" s="57" t="n">
        <x:v>11</x:v>
      </x:c>
      <x:c r="C185" s="59" t="str">
        <x:v>Loan Type</x:v>
      </x:c>
      <x:c r="D185" s="59" t="str">
        <x:v>Physical / Enum</x:v>
      </x:c>
      <x:c r="E185" s="57" t="str">
        <x:v>OLTP + OLAP</x:v>
      </x:c>
      <x:c r="F185" s="57" t="str">
        <x:v>OLTP: Required; OLAP: -</x:v>
      </x:c>
      <x:c r="G185" s="59" t="str">
        <x:v>Stores the authoritative source value for Loan Type.</x:v>
      </x:c>
      <x:c r="H185" s="59" t="str">
        <x:v>Stored source column; production source/OLTP enum values: "กำหนดวันชำระ", "ดอกเบี้ยรายวัน", "ผ่อนชำระรายวัน"</x:v>
      </x:c>
    </x:row>
    <x:row r="186" ht="15" customHeight="1">
      <x:c r="A186" s="57" t="str">
        <x:v>Loans</x:v>
      </x:c>
      <x:c r="B186" s="57" t="n">
        <x:v>12</x:v>
      </x:c>
      <x:c r="C186" s="59" t="str">
        <x:v>Current Daily Interest</x:v>
      </x:c>
      <x:c r="D186" s="59" t="str">
        <x:v>Physical / Price</x:v>
      </x:c>
      <x:c r="E186" s="57" t="str">
        <x:v>OLTP + OLAP</x:v>
      </x:c>
      <x:c r="F186" s="57" t="str">
        <x:v>-</x:v>
      </x:c>
      <x:c r="G186" s="59" t="str">
        <x:v>Stores the financially material source value for Current Daily Interest.</x:v>
      </x:c>
      <x:c r="H186" s="59" t="str">
        <x:v>Stored source column</x:v>
      </x:c>
    </x:row>
    <x:row r="187" ht="15" customHeight="1">
      <x:c r="A187" s="57" t="str">
        <x:v>Loans</x:v>
      </x:c>
      <x:c r="B187" s="57" t="n">
        <x:v>13</x:v>
      </x:c>
      <x:c r="C187" s="59" t="str">
        <x:v>Fixed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Fixed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14</x:v>
      </x:c>
      <x:c r="C188" s="59" t="str">
        <x:v>Transfer Fee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Transfer Fee.</x:v>
      </x:c>
      <x:c r="H188" s="59" t="str">
        <x:v>Stored source column; initial value: 0</x:v>
      </x:c>
    </x:row>
    <x:row r="189" ht="15" customHeight="1">
      <x:c r="A189" s="57" t="str">
        <x:v>Loans</x:v>
      </x:c>
      <x:c r="B189" s="57" t="n">
        <x:v>15</x:v>
      </x:c>
      <x:c r="C189" s="59" t="str">
        <x:v>Interest Payment Interval</x:v>
      </x:c>
      <x:c r="D189" s="59" t="str">
        <x:v>Physical / Number</x:v>
      </x:c>
      <x:c r="E189" s="57" t="str">
        <x:v>OLTP + OLAP</x:v>
      </x:c>
      <x:c r="F189" s="57" t="str">
        <x:v>-</x:v>
      </x:c>
      <x:c r="G189" s="59" t="str">
        <x:v>Stores the financially material source value for Interest Payment Interval.</x:v>
      </x:c>
      <x:c r="H189" s="59" t="str">
        <x:v>Stored source column; initial value: 1</x:v>
      </x:c>
    </x:row>
    <x:row r="190" ht="15" customHeight="1">
      <x:c r="A190" s="57" t="str">
        <x:v>Loans</x:v>
      </x:c>
      <x:c r="B190" s="57" t="n">
        <x:v>16</x:v>
      </x:c>
      <x:c r="C190" s="59" t="str">
        <x:v>Created By</x:v>
      </x:c>
      <x:c r="D190" s="59" t="str">
        <x:v>Physical / Email</x:v>
      </x:c>
      <x:c r="E190" s="57" t="str">
        <x:v>OLTP + OLAP</x:v>
      </x:c>
      <x:c r="F190" s="57" t="str">
        <x:v>-</x:v>
      </x:c>
      <x:c r="G190" s="59" t="str">
        <x:v>Stores the authoritative source value for Created By.</x:v>
      </x:c>
      <x:c r="H190" s="59" t="str">
        <x:v>Stored source column; initial value: USEREMAIL()</x:v>
      </x:c>
    </x:row>
    <x:row r="191" ht="15" customHeight="1">
      <x:c r="A191" s="57" t="str">
        <x:v>Loans</x:v>
      </x:c>
      <x:c r="B191" s="57" t="n">
        <x:v>17</x:v>
      </x:c>
      <x:c r="C191" s="59" t="str">
        <x:v>Closed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Closed By.</x:v>
      </x:c>
      <x:c r="H191" s="59" t="str">
        <x:v>Stored source column</x:v>
      </x:c>
    </x:row>
    <x:row r="192" ht="15" customHeight="1">
      <x:c r="A192" s="57" t="str">
        <x:v>Loans</x:v>
      </x:c>
      <x:c r="B192" s="57" t="n">
        <x:v>18</x:v>
      </x:c>
      <x:c r="C192" s="59" t="str">
        <x:v>Defaulted</x:v>
      </x:c>
      <x:c r="D192" s="59" t="str">
        <x:v>Physical / Yes/No</x:v>
      </x:c>
      <x:c r="E192" s="57" t="str">
        <x:v>OLTP + OLAP</x:v>
      </x:c>
      <x:c r="F192" s="57" t="str">
        <x:v>-</x:v>
      </x:c>
      <x:c r="G192" s="59" t="str">
        <x:v>Stores the authoritative source value for Defaulted.</x:v>
      </x:c>
      <x:c r="H192" s="59" t="str">
        <x:v>Stored source column; initial value: FALSE</x:v>
      </x:c>
    </x:row>
    <x:row r="193" ht="15" customHeight="1">
      <x:c r="A193" s="57" t="str">
        <x:v>Loans</x:v>
      </x:c>
      <x:c r="B193" s="57" t="n">
        <x:v>19</x:v>
      </x:c>
      <x:c r="C193" s="59" t="str">
        <x:v>Default Loss Amount</x:v>
      </x:c>
      <x:c r="D193" s="59" t="str">
        <x:v>Physical / Price</x:v>
      </x:c>
      <x:c r="E193" s="57" t="str">
        <x:v>OLTP + OLAP</x:v>
      </x:c>
      <x:c r="F193" s="57" t="str">
        <x:v>-</x:v>
      </x:c>
      <x:c r="G193" s="59" t="str">
        <x:v>Stores the financially material source value for Default Loss Amount.</x:v>
      </x:c>
      <x:c r="H193" s="59" t="str">
        <x:v>Stored source column; initial value: 0</x:v>
      </x:c>
    </x:row>
    <x:row r="194" ht="15" customHeight="1">
      <x:c r="A194" s="57" t="str">
        <x:v>Loans</x:v>
      </x:c>
      <x:c r="B194" s="57" t="n">
        <x:v>20</x:v>
      </x:c>
      <x:c r="C194" s="59" t="str">
        <x:v>Daily Payment Amount</x:v>
      </x:c>
      <x:c r="D194" s="59" t="str">
        <x:v>Physical / Price</x:v>
      </x:c>
      <x:c r="E194" s="57" t="str">
        <x:v>OLTP + OLAP</x:v>
      </x:c>
      <x:c r="F194" s="57" t="str">
        <x:v>OLTP: Required_If/Show_If and whole-baht validation for "ผ่อนชำระรายวัน"; OLAP: loaded read-only; decimal digits 0</x:v>
      </x:c>
      <x:c r="G194" s="59" t="str">
        <x:v>Contract payment amount per scheduled day for a daily-installment loan; interval charges combine elapsed days.</x:v>
      </x:c>
      <x:c r="H194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5" ht="21.600000381469727" customHeight="1">
      <x:c r="A195" s="57" t="str">
        <x:v>Loans</x:v>
      </x:c>
      <x:c r="B195" s="57" t="n">
        <x:v>21</x:v>
      </x:c>
      <x:c r="C195" s="59" t="str">
        <x:v>Related Repayments</x:v>
      </x:c>
      <x:c r="D195" s="59" t="str">
        <x:v>VC / List</x:v>
      </x:c>
      <x:c r="E195" s="57" t="str">
        <x:v>OLTP + OLAP</x:v>
      </x:c>
      <x:c r="F195" s="57" t="str">
        <x:v>-</x:v>
      </x:c>
      <x:c r="G195" s="59" t="str">
        <x:v>Reverse-reference list of child rows that point to this record.</x:v>
      </x:c>
      <x:c r="H195" s="59" t="str">
        <x:v>REF_ROWS("Repayments", "Ref Loans")</x:v>
      </x:c>
    </x:row>
    <x:row r="196" ht="32.400001525878906" customHeight="1">
      <x:c r="A196" s="57" t="str">
        <x:v>Loans</x:v>
      </x:c>
      <x:c r="B196" s="57" t="n">
        <x:v>22</x:v>
      </x:c>
      <x:c r="C196" s="59" t="str">
        <x:v>Total Interest Received</x:v>
      </x:c>
      <x:c r="D196" s="59" t="str">
        <x:v>VC / Price</x:v>
      </x:c>
      <x:c r="E196" s="57" t="str">
        <x:v>OLTP + OLAP</x:v>
      </x:c>
      <x:c r="F196" s="57" t="str">
        <x:v>-</x:v>
      </x:c>
      <x:c r="G196" s="59" t="str">
        <x:v>Derived financial aggregate or balance for operational or analytical use.</x:v>
      </x:c>
      <x:c r="H196" s="59" t="str">
        <x:v>SUM([Related Repayments][Interest Paid])</x:v>
      </x:c>
    </x:row>
    <x:row r="197" ht="21.600000381469727" customHeight="1">
      <x:c r="A197" s="57" t="str">
        <x:v>Loans</x:v>
      </x:c>
      <x:c r="B197" s="57" t="n">
        <x:v>23</x:v>
      </x:c>
      <x:c r="C197" s="59" t="str">
        <x:v>Total Principal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Repayments][Principal Paid])</x:v>
      </x:c>
    </x:row>
    <x:row r="198" ht="15" customHeight="1">
      <x:c r="A198" s="57" t="str">
        <x:v>Loans</x:v>
      </x:c>
      <x:c r="B198" s="57" t="n">
        <x:v>24</x:v>
      </x:c>
      <x:c r="C198" s="59" t="str">
        <x:v>Outstanding Principal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[Principal Amount] - [Total Principal Received]</x:v>
      </x:c>
    </x:row>
    <x:row r="199" ht="21.600000381469727" customHeight="1">
      <x:c r="A199" s="57" t="str">
        <x:v>Loans</x:v>
      </x:c>
      <x:c r="B199" s="57" t="n">
        <x:v>25</x:v>
      </x:c>
      <x:c r="C199" s="59" t="str">
        <x:v>Total Amount Received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SUM([Related Repayments][Amount Received])</x:v>
      </x:c>
    </x:row>
    <x:row r="200" ht="15" customHeight="1">
      <x:c r="A200" s="57" t="str">
        <x:v>Loans</x:v>
      </x:c>
      <x:c r="B200" s="57" t="n">
        <x:v>26</x:v>
      </x:c>
      <x:c r="C200" s="59" t="str">
        <x:v>Statistics Header</x:v>
      </x:c>
      <x:c r="D200" s="59" t="str">
        <x:v>VC / Text</x:v>
      </x:c>
      <x:c r="E200" s="57" t="str">
        <x:v>OLTP + OLAP</x:v>
      </x:c>
      <x:c r="F200" s="57" t="str">
        <x:v>-</x:v>
      </x:c>
      <x:c r="G200" s="59" t="str">
        <x:v>Presentation-oriented label or bilingual display value.</x:v>
      </x:c>
      <x:c r="H200" s="59" t="str">
        <x:v>"📊 สถิติการกู้ / Statistics"</x:v>
      </x:c>
    </x:row>
    <x:row r="201" ht="15" customHeight="1">
      <x:c r="A201" s="57" t="str">
        <x:v>Loans</x:v>
      </x:c>
      <x:c r="B201" s="57" t="n">
        <x:v>27</x:v>
      </x:c>
      <x:c r="C201" s="59" t="str">
        <x:v>Borrower Total Interest</x:v>
      </x:c>
      <x:c r="D201" s="59" t="str">
        <x:v>VC / Price</x:v>
      </x:c>
      <x:c r="E201" s="57" t="str">
        <x:v>OLAP only</x:v>
      </x:c>
      <x:c r="F201" s="57" t="str">
        <x:v>-</x:v>
      </x:c>
      <x:c r="G201" s="59" t="str">
        <x:v>Derived financial aggregate or balance for operational or analytical use.</x:v>
      </x:c>
      <x:c r="H201" s="59" t="str">
        <x:v>SUM( SELECT( Loans[Total Interest Received], [Ref Borrowers] = [_THISROW].[Ref Borrowers] ))</x:v>
      </x:c>
    </x:row>
    <x:row r="202" ht="15" customHeight="1">
      <x:c r="A202" s="57" t="str">
        <x:v>Loans</x:v>
      </x:c>
      <x:c r="B202" s="57" t="n">
        <x:v>28</x:v>
      </x:c>
      <x:c r="C202" s="59" t="str">
        <x:v>Related Charges</x:v>
      </x:c>
      <x:c r="D202" s="59" t="str">
        <x:v>VC / List</x:v>
      </x:c>
      <x:c r="E202" s="57" t="str">
        <x:v>OLTP + OLAP</x:v>
      </x:c>
      <x:c r="F202" s="57" t="str">
        <x:v>-</x:v>
      </x:c>
      <x:c r="G202" s="59" t="str">
        <x:v>Reverse-reference list of child rows that point to this record.</x:v>
      </x:c>
      <x:c r="H202" s="59" t="str">
        <x:v>REF_ROWS("Charges", "Ref Loans")</x:v>
      </x:c>
    </x:row>
    <x:row r="203" ht="15" customHeight="1">
      <x:c r="A203" s="57" t="str">
        <x:v>Loans</x:v>
      </x:c>
      <x:c r="B203" s="57" t="n">
        <x:v>29</x:v>
      </x:c>
      <x:c r="C203" s="59" t="str">
        <x:v>Loan Key</x:v>
      </x:c>
      <x:c r="D203" s="59" t="str">
        <x:v>VC / Text</x:v>
      </x:c>
      <x:c r="E203" s="57" t="str">
        <x:v>OLTP + OLAP</x:v>
      </x:c>
      <x:c r="F203" s="57" t="str">
        <x:v>Label</x:v>
      </x:c>
      <x:c r="G203" s="59" t="str">
        <x:v>Derived AppSheet value used by the app workflow, presentation, or reporting model.</x:v>
      </x:c>
      <x:c r="H203" s="59" t="str">
        <x:v>CONCATENATE( [Borrower Name], "-", TEXT([Principal Amount]), "-", TEXT([Loan Date], "DD/MM"), "-", TEXT([Effective Daily Interest Rate]))</x:v>
      </x:c>
    </x:row>
    <x:row r="204" ht="15" customHeight="1">
      <x:c r="A204" s="57" t="str">
        <x:v>Loans</x:v>
      </x:c>
      <x:c r="B204" s="57" t="n">
        <x:v>30</x:v>
      </x:c>
      <x:c r="C204" s="59" t="str">
        <x:v>Expected Interest This Month</x:v>
      </x:c>
      <x:c r="D204" s="59" t="str">
        <x:v>VC / Price</x:v>
      </x:c>
      <x:c r="E204" s="57" t="str">
        <x:v>OLTP + OLAP</x:v>
      </x:c>
      <x:c r="F204" s="57" t="str">
        <x:v>-</x:v>
      </x:c>
      <x:c r="G204" s="59" t="str">
        <x:v>Open-loan current-month interest forecast. Daily-installment interest covers only uncharged contract days after the latest posted Charge through the earlier of Due Date and month-end.</x:v>
      </x:c>
      <x:c r="H204" s="59" t="str">
        <x:v>IF([Loan Status] = "ปิดยอดแล้ว", 0, IFS([Loan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5" ht="15" customHeight="1">
      <x:c r="A205" s="57" t="str">
        <x:v>Loans</x:v>
      </x:c>
      <x:c r="B205" s="57" t="n">
        <x:v>31</x:v>
      </x:c>
      <x:c r="C205" s="59" t="str">
        <x:v>Effective Daily Interest Rate</x:v>
      </x:c>
      <x:c r="D205" s="59" t="str">
        <x:v>VC / Percent</x:v>
      </x:c>
      <x:c r="E205" s="57" t="str">
        <x:v>OLTP + OLAP</x:v>
      </x:c>
      <x:c r="F205" s="57" t="str">
        <x:v>-</x:v>
      </x:c>
      <x:c r="G205" s="59" t="str">
        <x:v>Derived ratio or performance measure calculated from governed source values.</x:v>
      </x:c>
      <x:c r="H205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6" ht="21.600000381469727" customHeight="1">
      <x:c r="A206" s="57" t="str">
        <x:v>Loans</x:v>
      </x:c>
      <x:c r="B206" s="57" t="n">
        <x:v>32</x:v>
      </x:c>
      <x:c r="C206" s="59" t="str">
        <x:v>Principal Recovered by Interest %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IF( [Principal Amount] &gt; 0, [Total Interest Received] / [Principal Amount], 0)</x:v>
      </x:c>
    </x:row>
    <x:row r="207" ht="21.600000381469727" customHeight="1">
      <x:c r="A207" s="57" t="str">
        <x:v>Loans</x:v>
      </x:c>
      <x:c r="B207" s="57" t="n">
        <x:v>33</x:v>
      </x:c>
      <x:c r="C207" s="59" t="str">
        <x:v>Principal Days MTD</x:v>
      </x:c>
      <x:c r="D207" s="59" t="str">
        <x:v>VC / Number</x:v>
      </x:c>
      <x:c r="E207" s="57" t="str">
        <x:v>OLTP + OLAP</x:v>
      </x:c>
      <x:c r="F207" s="57" t="str">
        <x:v>-</x:v>
      </x:c>
      <x:c r="G207" s="59" t="str">
        <x:v>Derived date, time-window, age, or delinquency measure.</x:v>
      </x:c>
      <x:c r="H207" s="59" t="str">
        <x:v>IF( [Loan Date] &gt; TODAY(), 0, [Principal Amount] * IF( AND(MONTH([Loan Date]) = MONTH(TODAY()), YEAR([Loan Date]) = YEAR(TODAY())), DAY(TODAY()) - DAY([Loan Date]) + 1, DAY(TODAY()) ))</x:v>
      </x:c>
    </x:row>
    <x:row r="208" ht="15" customHeight="1">
      <x:c r="A208" s="57" t="str">
        <x:v>Loans</x:v>
      </x:c>
      <x:c r="B208" s="57" t="n">
        <x:v>34</x:v>
      </x:c>
      <x:c r="C208" s="59" t="str">
        <x:v>Borrower Name TE</x:v>
      </x:c>
      <x:c r="D208" s="59" t="str">
        <x:v>VC / Text</x:v>
      </x:c>
      <x:c r="E208" s="57" t="str">
        <x:v>OLTP + OLAP</x:v>
      </x:c>
      <x:c r="F208" s="57" t="str">
        <x:v>-</x:v>
      </x:c>
      <x:c r="G208" s="59" t="str">
        <x:v>Presentation-oriented label or bilingual display value.</x:v>
      </x:c>
      <x:c r="H208" s="59" t="str">
        <x:v>[Ref Borrowers].[Borrower Name TE]</x:v>
      </x:c>
    </x:row>
    <x:row r="209" ht="21.600000381469727" customHeight="1">
      <x:c r="A209" s="57" t="str">
        <x:v>Loans</x:v>
      </x:c>
      <x:c r="B209" s="57" t="n">
        <x:v>35</x:v>
      </x:c>
      <x:c r="C209" s="59" t="str">
        <x:v>Loan Status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IF([Loan Status] = "ปิดยอดแล้ว", "ปิดยอดแล้ว / Closed", "ยังไม่ปิดยอด / Active")</x:v>
      </x:c>
    </x:row>
    <x:row r="210" ht="15" customHeight="1">
      <x:c r="A210" s="57" t="str">
        <x:v>Loans</x:v>
      </x:c>
      <x:c r="B210" s="57" t="n">
        <x:v>36</x:v>
      </x:c>
      <x:c r="C210" s="59" t="str">
        <x:v>Loan Type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1" ht="15" customHeight="1">
      <x:c r="A211" s="57" t="str">
        <x:v>Loans</x:v>
      </x:c>
      <x:c r="B211" s="57" t="n">
        <x:v>37</x:v>
      </x:c>
      <x:c r="C211" s="59" t="str">
        <x:v>Loan Start Day Index</x:v>
      </x:c>
      <x:c r="D211" s="59" t="str">
        <x:v>VC / Decimal</x:v>
      </x:c>
      <x:c r="E211" s="57" t="str">
        <x:v>OLAP only</x:v>
      </x:c>
      <x:c r="F211" s="57" t="str">
        <x:v>-</x:v>
      </x:c>
      <x:c r="G211" s="59" t="str">
        <x:v>Derived AppSheet value used by the app workflow, presentation, or reporting model.</x:v>
      </x:c>
      <x:c r="H211" s="59" t="str">
        <x:v>TOTALHOURS( [Loan Date] - DATE("01/01/2000")) / 24</x:v>
      </x:c>
    </x:row>
    <x:row r="212" ht="15" customHeight="1">
      <x:c r="A212" s="57" t="str">
        <x:v>Loans</x:v>
      </x:c>
      <x:c r="B212" s="57" t="n">
        <x:v>38</x:v>
      </x:c>
      <x:c r="C212" s="59" t="str">
        <x:v>Principal Start Weight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financial aggregate or balance for operational or analytical use.</x:v>
      </x:c>
      <x:c r="H212" s="59" t="str">
        <x:v>[Principal Amount] * [Loan Start Day Index]</x:v>
      </x:c>
    </x:row>
    <x:row r="213" ht="21.600000381469727" customHeight="1">
      <x:c r="A213" s="57" t="str">
        <x:v>Loans</x:v>
      </x:c>
      <x:c r="B213" s="57" t="n">
        <x:v>39</x:v>
      </x:c>
      <x:c r="C213" s="59" t="str">
        <x:v>Loan End Date</x:v>
      </x:c>
      <x:c r="D213" s="59" t="str">
        <x:v>VC / Date</x:v>
      </x:c>
      <x:c r="E213" s="57" t="str">
        <x:v>OLAP only</x:v>
      </x:c>
      <x:c r="F213" s="57" t="str">
        <x:v>-</x:v>
      </x:c>
      <x:c r="G213" s="59" t="str">
        <x:v>Derived date, time-window, age, or delinquency measure.</x:v>
      </x:c>
      <x:c r="H213" s="59" t="str">
        <x:v>[Close Date]</x:v>
      </x:c>
    </x:row>
    <x:row r="214" ht="15" customHeight="1">
      <x:c r="A214" s="57" t="str">
        <x:v>Loans</x:v>
      </x:c>
      <x:c r="B214" s="57" t="n">
        <x:v>40</x:v>
      </x:c>
      <x:c r="C214" s="59" t="str">
        <x:v>Loan Duration</x:v>
      </x:c>
      <x:c r="D214" s="59" t="str">
        <x:v>VC / Number</x:v>
      </x:c>
      <x:c r="E214" s="57" t="str">
        <x:v>OLTP + OLAP</x:v>
      </x:c>
      <x:c r="F214" s="57" t="str">
        <x:v>-</x:v>
      </x:c>
      <x:c r="G214" s="59" t="str">
        <x:v>Closed-loan duration in calendar days, based on Close Date and inclusive of the Loan Date.</x:v>
      </x:c>
      <x:c r="H214" s="59" t="str">
        <x:v>IF( ISNOTBLANK([Close Date]), FLOOR(TOTALHOURS([Close Date] - [Loan Date]) / 24) + 1, "")</x:v>
      </x:c>
    </x:row>
    <x:row r="215" ht="15" customHeight="1">
      <x:c r="A215" s="57" t="str">
        <x:v>Loans</x:v>
      </x:c>
      <x:c r="B215" s="57" t="n">
        <x:v>41</x:v>
      </x:c>
      <x:c r="C215" s="59" t="str">
        <x:v>30D Principal Days</x:v>
      </x:c>
      <x:c r="D215" s="59" t="str">
        <x:v>VC / Decimal</x:v>
      </x:c>
      <x:c r="E215" s="57" t="str">
        <x:v>OLAP only</x:v>
      </x:c>
      <x:c r="F215" s="57" t="str">
        <x:v>-</x:v>
      </x:c>
      <x:c r="G215" s="59" t="str">
        <x:v>Derived date, time-window, age, or delinquency measure.</x:v>
      </x:c>
      <x:c r="H215" s="59" t="str">
        <x:v>IF( [Loan Date] &gt; TODAY(), 0, [Principal Amount] * ( FLOOR(TOTALHOURS(TODAY() - MAX(LIST([Loan Date], TODAY() - 29))) / 24) + 1 ))</x:v>
      </x:c>
    </x:row>
    <x:row r="216" ht="15" customHeight="1">
      <x:c r="A216" s="57" t="str">
        <x:v>Loans</x:v>
      </x:c>
      <x:c r="B216" s="57" t="n">
        <x:v>42</x:v>
      </x:c>
      <x:c r="C216" s="59" t="str">
        <x:v>Loan Age Days</x:v>
      </x:c>
      <x:c r="D216" s="59" t="str">
        <x:v>VC / Number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FLOOR(TOTALHOURS(TODAY() - [Loan Date]) / 24)</x:v>
      </x:c>
    </x:row>
    <x:row r="217" ht="15" customHeight="1">
      <x:c r="A217" s="57" t="str">
        <x:v>Loans</x:v>
      </x:c>
      <x:c r="B217" s="57" t="n">
        <x:v>43</x:v>
      </x:c>
      <x:c r="C217" s="59" t="str">
        <x:v>Loan Age Bucket</x:v>
      </x:c>
      <x:c r="D217" s="59" t="str">
        <x:v>VC / Text</x:v>
      </x:c>
      <x:c r="E217" s="57" t="str">
        <x:v>OLAP only</x:v>
      </x:c>
      <x:c r="F217" s="57" t="str">
        <x:v>-</x:v>
      </x:c>
      <x:c r="G217" s="59" t="str">
        <x:v>Derived grouping, ordering, or join value used by reporting or app presentation.</x:v>
      </x:c>
      <x:c r="H217" s="59" t="str">
        <x:v>IFS( [Loan Age Days] &lt;= 10, "0-10 Days", [Loan Age Days] &lt;= 20, "11-20 Days", [Loan Age Days] &lt;= 30, "21-30 Days", [Loan Age Days] &lt;= 60, "31-60 Days", TRUE, "60+ Days")</x:v>
      </x:c>
    </x:row>
    <x:row r="218" ht="15" customHeight="1">
      <x:c r="A218" s="57" t="str">
        <x:v>Loans</x:v>
      </x:c>
      <x:c r="B218" s="57" t="n">
        <x:v>44</x:v>
      </x:c>
      <x:c r="C218" s="59" t="str">
        <x:v>Defaulted Flag</x:v>
      </x:c>
      <x:c r="D218" s="59" t="str">
        <x:v>VC / Yes/No</x:v>
      </x:c>
      <x:c r="E218" s="57" t="str">
        <x:v>OLAP only</x:v>
      </x:c>
      <x:c r="F218" s="57" t="str">
        <x:v>-</x:v>
      </x:c>
      <x:c r="G218" s="59" t="str">
        <x:v>Derived business-state or risk indicator.</x:v>
      </x:c>
      <x:c r="H218" s="59" t="str">
        <x:v>IF([Defaulted], TRUE, FALSE)</x:v>
      </x:c>
    </x:row>
    <x:row r="219" ht="15" customHeight="1">
      <x:c r="A219" s="57" t="str">
        <x:v>Loans</x:v>
      </x:c>
      <x:c r="B219" s="57" t="n">
        <x:v>45</x:v>
      </x:c>
      <x:c r="C219" s="59" t="str">
        <x:v>Maximum Days Late</x:v>
      </x:c>
      <x:c r="D219" s="59" t="str">
        <x:v>VC / Number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MAX(LIST(0) + SELECT(Charges[Days Late], [Ref Loans] = [_THISROW].[Row ID]))</x:v>
      </x:c>
    </x:row>
    <x:row r="220" ht="15" customHeight="1">
      <x:c r="A220" s="57" t="str">
        <x:v>Loans</x:v>
      </x:c>
      <x:c r="B220" s="57" t="n">
        <x:v>46</x:v>
      </x:c>
      <x:c r="C220" s="59" t="str">
        <x:v>Last Interest Charge Date</x:v>
      </x:c>
      <x:c r="D220" s="59" t="str">
        <x:v>VC / Date</x:v>
      </x:c>
      <x:c r="E220" s="57" t="str">
        <x:v>OLTP + OLAP</x:v>
      </x:c>
      <x:c r="F220" s="57" t="str">
        <x:v>Searchable</x:v>
      </x:c>
      <x:c r="G220" s="59" t="str">
        <x:v>Latest related Charge Date; the lower boundary for calculating uncharged daily-interest accrual.</x:v>
      </x:c>
      <x:c r="H220" s="59" t="str">
        <x:v>MAX([Related Charges][Charge Date])</x:v>
      </x:c>
    </x:row>
    <x:row r="221" ht="15" customHeight="1">
      <x:c r="A221" s="57" t="str">
        <x:v>Loans</x:v>
      </x:c>
      <x:c r="B221" s="57" t="n">
        <x:v>47</x:v>
      </x:c>
      <x:c r="C221" s="59" t="str">
        <x:v>Accrued Interest Days</x:v>
      </x:c>
      <x:c r="D221" s="59" t="str">
        <x:v>VC / Number</x:v>
      </x:c>
      <x:c r="E221" s="57" t="str">
        <x:v>OLTP + OLAP</x:v>
      </x:c>
      <x:c r="F221" s="57" t="str">
        <x:v>-</x:v>
      </x:c>
      <x:c r="G221" s="59" t="str">
        <x:v>Elapsed accrual days since Last Interest Charge Date, or since Loan Date when no interest charge exists.</x:v>
      </x:c>
      <x:c r="H221" s="59" t="str">
        <x:v>IF( ISBLANK([Last Interest Charge Date]), TOTALHOURS(TODAY() - [Loan Date])/24, TOTALHOURS(TODAY() - [Last Interest Charge Date])/24)</x:v>
      </x:c>
    </x:row>
    <x:row r="222" ht="15" customHeight="1">
      <x:c r="A222" s="57" t="str">
        <x:v>Loans</x:v>
      </x:c>
      <x:c r="B222" s="57" t="n">
        <x:v>48</x:v>
      </x:c>
      <x:c r="C222" s="59" t="str">
        <x:v>Accrued Interest</x:v>
      </x:c>
      <x:c r="D222" s="59" t="str">
        <x:v>VC / Price</x:v>
      </x:c>
      <x:c r="E222" s="57" t="str">
        <x:v>OLTP + OLAP</x:v>
      </x:c>
      <x:c r="F222" s="57" t="str">
        <x:v>Show_If: [Loan Type] = "ดอกเบี้ยรายวัน"</x:v>
      </x:c>
      <x:c r="G222" s="59" t="str">
        <x:v>Uncharged interest for a daily-interest loan, calculated from Current Daily Interest and Accrued Interest Days.</x:v>
      </x:c>
      <x:c r="H222" s="59" t="str">
        <x:v>IF( [Loan Type] = "ดอกเบี้ยรายวัน", [Current Daily Interest] * [Accrued Interest Days], 0)</x:v>
      </x:c>
    </x:row>
    <x:row r="223" ht="21.600000381469727" customHeight="1">
      <x:c r="A223" s="57" t="str">
        <x:v>Loans</x:v>
      </x:c>
      <x:c r="B223" s="57" t="n">
        <x:v>49</x:v>
      </x:c>
      <x:c r="C223" s="59" t="str">
        <x:v>Expected Daily Interest Amount</x:v>
      </x:c>
      <x:c r="D223" s="59" t="str">
        <x:v>VC / Price</x:v>
      </x:c>
      <x:c r="E223" s="57" t="str">
        <x:v>OLTP + OLAP</x:v>
      </x:c>
      <x:c r="F223" s="57" t="str">
        <x:v>Hidden in OLTP + OLAP; OLAP Price with 2 decimal digits</x:v>
      </x:c>
      <x:c r="G223" s="59" t="str">
        <x:v>Open-loan daily-interest amount used by operational forecasts: entered daily interest for daily-interest loans and average contract interest for daily-installment loans; zero otherwise.</x:v>
      </x:c>
      <x:c r="H223" s="59" t="str">
        <x:v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x:v>
      </x:c>
    </x:row>
    <x:row r="224" ht="15" customHeight="1">
      <x:c r="A224" s="57" t="str">
        <x:v>Loans</x:v>
      </x:c>
      <x:c r="B224" s="57" t="n">
        <x:v>50</x:v>
      </x:c>
      <x:c r="C224" s="59" t="str">
        <x:v>Daily Installment Base Principal</x:v>
      </x:c>
      <x:c r="D224" s="59" t="str">
        <x:v>VC / Number</x:v>
      </x:c>
      <x:c r="E224" s="57" t="str">
        <x:v>OLAP only</x:v>
      </x:c>
      <x:c r="F224" s="57" t="str">
        <x:v>Hidden; whole-baht base allocation</x:v>
      </x:c>
      <x:c r="G224" s="59" t="str">
        <x:v>Base principal allocated to every contract day before the one-baht earliest-day remainder is applied.</x:v>
      </x:c>
      <x:c r="H224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5" ht="15" customHeight="1">
      <x:c r="A225" s="57" t="str">
        <x:v>Partners</x:v>
      </x:c>
      <x:c r="B225" s="57" t="n">
        <x:v>1</x:v>
      </x:c>
      <x:c r="C225" s="59" t="str">
        <x:v>_RowNumber</x:v>
      </x:c>
      <x:c r="D225" s="59" t="str">
        <x:v>Physical / Number</x:v>
      </x:c>
      <x:c r="E225" s="57" t="str">
        <x:v>OLTP + OLAP</x:v>
      </x:c>
      <x:c r="F225" s="57" t="str">
        <x:v>-</x:v>
      </x:c>
      <x:c r="G225" s="59" t="str">
        <x:v>System-generated source-row ordinal; not a stable business key.</x:v>
      </x:c>
      <x:c r="H225" s="59" t="str">
        <x:v>Stored source column</x:v>
      </x:c>
    </x:row>
    <x:row r="226" ht="15" customHeight="1">
      <x:c r="A226" s="57" t="str">
        <x:v>Partners</x:v>
      </x:c>
      <x:c r="B226" s="57" t="n">
        <x:v>2</x:v>
      </x:c>
      <x:c r="C226" s="59" t="str">
        <x:v>Row ID</x:v>
      </x:c>
      <x:c r="D226" s="59" t="str">
        <x:v>Physical / Text</x:v>
      </x:c>
      <x:c r="E226" s="57" t="str">
        <x:v>OLTP + OLAP</x:v>
      </x:c>
      <x:c r="F226" s="57" t="str">
        <x:v>Key, Required</x:v>
      </x:c>
      <x:c r="G226" s="59" t="str">
        <x:v>Immutable row key generated by the source database.</x:v>
      </x:c>
      <x:c r="H226" s="59" t="str">
        <x:v>Stored source column; initial value: UNIQUEID("PackedUUID")</x:v>
      </x:c>
    </x:row>
    <x:row r="227" ht="15" customHeight="1">
      <x:c r="A227" s="57" t="str">
        <x:v>Partners</x:v>
      </x:c>
      <x:c r="B227" s="57" t="n">
        <x:v>3</x:v>
      </x:c>
      <x:c r="C227" s="59" t="str">
        <x:v>Partner Name</x:v>
      </x:c>
      <x:c r="D227" s="59" t="str">
        <x:v>Physical / Name</x:v>
      </x:c>
      <x:c r="E227" s="57" t="str">
        <x:v>OLTP + OLAP</x:v>
      </x:c>
      <x:c r="F227" s="57" t="str">
        <x:v>OLTP: Label; OLAP: Label, Required</x:v>
      </x:c>
      <x:c r="G227" s="59" t="str">
        <x:v>Stores the authoritative source value for Partner Name.</x:v>
      </x:c>
      <x:c r="H227" s="59" t="str">
        <x:v>Stored source column</x:v>
      </x:c>
    </x:row>
    <x:row r="228" ht="15" customHeight="1">
      <x:c r="A228" s="57" t="str">
        <x:v>Partners</x:v>
      </x:c>
      <x:c r="B228" s="57" t="n">
        <x:v>4</x:v>
      </x:c>
      <x:c r="C228" s="59" t="str">
        <x:v>Partner Role</x:v>
      </x:c>
      <x:c r="D228" s="59" t="str">
        <x:v>Physical / Enum</x:v>
      </x:c>
      <x:c r="E228" s="57" t="str">
        <x:v>OLTP + OLAP</x:v>
      </x:c>
      <x:c r="F228" s="57" t="str">
        <x:v>OLTP: -; OLAP: Required</x:v>
      </x:c>
      <x:c r="G228" s="59" t="str">
        <x:v>Stores the authoritative source value for Partner Role.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5</x:v>
      </x:c>
      <x:c r="C229" s="59" t="str">
        <x:v>Email</x:v>
      </x:c>
      <x:c r="D229" s="59" t="str">
        <x:v>Physical / Email</x:v>
      </x:c>
      <x:c r="E229" s="57" t="str">
        <x:v>OLTP + OLAP</x:v>
      </x:c>
      <x:c r="F229" s="57" t="str">
        <x:v>OLTP: PII; OLAP: Required</x:v>
      </x:c>
      <x:c r="G229" s="59" t="str">
        <x:v>Stores the authoritative source value for Email.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6</x:v>
      </x:c>
      <x:c r="C230" s="59" t="str">
        <x:v>Related Cash Pool Contributions</x:v>
      </x:c>
      <x:c r="D230" s="59" t="str">
        <x:v>VC / List</x:v>
      </x:c>
      <x:c r="E230" s="57" t="str">
        <x:v>OLAP only</x:v>
      </x:c>
      <x:c r="F230" s="57" t="str">
        <x:v>-</x:v>
      </x:c>
      <x:c r="G230" s="59" t="str">
        <x:v>Reverse-reference list of child rows that point to this record.</x:v>
      </x:c>
      <x:c r="H230" s="59" t="str">
        <x:v>REF_ROWS("Cash Pool Contributions", "Ref Partner")</x:v>
      </x:c>
    </x:row>
    <x:row r="231" ht="15" customHeight="1">
      <x:c r="A231" s="57" t="str">
        <x:v>Partners</x:v>
      </x:c>
      <x:c r="B231" s="57" t="n">
        <x:v>7</x:v>
      </x:c>
      <x:c r="C231" s="59" t="str">
        <x:v>Related Settlements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REF_ROWS("Settlements", "Ref Partner")</x:v>
      </x:c>
    </x:row>
    <x:row r="232" ht="15" customHeight="1">
      <x:c r="A232" s="57" t="str">
        <x:v>Partners</x:v>
      </x:c>
      <x:c r="B232" s="57" t="n">
        <x:v>8</x:v>
      </x:c>
      <x:c r="C232" s="59" t="str">
        <x:v>Current Pool Contribution</x:v>
      </x:c>
      <x:c r="D232" s="59" t="str">
        <x:v>VC / Price</x:v>
      </x:c>
      <x:c r="E232" s="57" t="str">
        <x:v>OLAP only</x:v>
      </x:c>
      <x:c r="F232" s="57" t="str">
        <x:v>-</x:v>
      </x:c>
      <x:c r="G232" s="59" t="str">
        <x:v>Derived financial aggregate or balance for operational or analytical use.</x:v>
      </x:c>
      <x:c r="H232" s="59" t="str">
        <x:v>SUM( SELECT( Cash Pool Contributions[Net Contribution], [Ref Partner] = [_THISROW].[Row ID] ))</x:v>
      </x:c>
    </x:row>
    <x:row r="233" ht="15" customHeight="1">
      <x:c r="A233" s="57" t="str">
        <x:v>Partners</x:v>
      </x:c>
      <x:c r="B233" s="57" t="n">
        <x:v>9</x:v>
      </x:c>
      <x:c r="C233" s="59" t="str">
        <x:v>Current Pool Share</x:v>
      </x:c>
      <x:c r="D233" s="59" t="str">
        <x:v>VC / Percent</x:v>
      </x:c>
      <x:c r="E233" s="57" t="str">
        <x:v>OLAP only</x:v>
      </x:c>
      <x:c r="F233" s="57" t="str">
        <x:v>-</x:v>
      </x:c>
      <x:c r="G233" s="59" t="str">
        <x:v>Derived ratio or performance measure calculated from governed source values.</x:v>
      </x:c>
      <x:c r="H233" s="59" t="str">
        <x:v>IF( SUM(Cash Pool Contributions[Net Contribution]) &gt; 0, [Current Pool Contribution] / SUM(Cash Pool Contributions[Net Contribution]), 0)</x:v>
      </x:c>
    </x:row>
    <x:row r="234" ht="15" customHeight="1">
      <x:c r="A234" s="57" t="str">
        <x:v>Partners</x:v>
      </x:c>
      <x:c r="B234" s="57" t="n">
        <x:v>10</x:v>
      </x:c>
      <x:c r="C234" s="59" t="str">
        <x:v>Total Profit Earned</x:v>
      </x:c>
      <x:c r="D234" s="59" t="str">
        <x:v>VC / Price</x:v>
      </x:c>
      <x:c r="E234" s="57" t="str">
        <x:v>OLAP only</x:v>
      </x:c>
      <x:c r="F234" s="57" t="str">
        <x:v>-</x:v>
      </x:c>
      <x:c r="G234" s="59" t="str">
        <x:v>Derived financial aggregate or balance for operational or analytical use.</x:v>
      </x:c>
      <x:c r="H234" s="59" t="str">
        <x:v>IFS( [Partner Role] = "A", SUM(Repayments[Partner A Profit]), [Partner Role] = "B", SUM(Repayments[Partner B Profit]))</x:v>
      </x:c>
    </x:row>
    <x:row r="235" ht="21.600000381469727" customHeight="1">
      <x:c r="A235" s="57" t="str">
        <x:v>Partners</x:v>
      </x:c>
      <x:c r="B235" s="57" t="n">
        <x:v>11</x:v>
      </x:c>
      <x:c r="C235" s="59" t="str">
        <x:v>Total Settlement Created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SUM( [Related Settlements][Amount])</x:v>
      </x:c>
    </x:row>
    <x:row r="236" ht="32.400001525878906" customHeight="1">
      <x:c r="A236" s="57" t="str">
        <x:v>Partners</x:v>
      </x:c>
      <x:c r="B236" s="57" t="n">
        <x:v>12</x:v>
      </x:c>
      <x:c r="C236" s="59" t="str">
        <x:v>Completed Settlement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SELECT( Settlements[Amount], AND([Ref Partner] = [_THISROW].[Row ID], [Status] = "Completed") ))</x:v>
      </x:c>
    </x:row>
    <x:row r="237" ht="15" customHeight="1">
      <x:c r="A237" s="57" t="str">
        <x:v>Partners</x:v>
      </x:c>
      <x:c r="B237" s="57" t="n">
        <x:v>13</x:v>
      </x:c>
      <x:c r="C237" s="59" t="str">
        <x:v>Pending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"Pending") ))</x:v>
      </x:c>
    </x:row>
    <x:row r="238" ht="15" customHeight="1">
      <x:c r="A238" s="57" t="str">
        <x:v>Partners</x:v>
      </x:c>
      <x:c r="B238" s="57" t="n">
        <x:v>14</x:v>
      </x:c>
      <x:c r="C238" s="59" t="str">
        <x:v>Available to Settle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AppSheet value used by the app workflow, presentation, or reporting model.</x:v>
      </x:c>
      <x:c r="H238" s="59" t="str">
        <x:v>[Total Profit Earned] - [Total Settlement Created]</x:v>
      </x:c>
    </x:row>
    <x:row r="239" ht="15" customHeight="1">
      <x:c r="A239" s="57" t="str">
        <x:v>Partners</x:v>
      </x:c>
      <x:c r="B239" s="57" t="n">
        <x:v>15</x:v>
      </x:c>
      <x:c r="C239" s="59" t="str">
        <x:v>Summary - Available Pending Settlement</x:v>
      </x:c>
      <x:c r="D239" s="59" t="str">
        <x:v>VC / Text</x:v>
      </x:c>
      <x:c r="E239" s="57" t="str">
        <x:v>OLAP only</x:v>
      </x:c>
      <x:c r="F239" s="57" t="str">
        <x:v>-</x:v>
      </x:c>
      <x:c r="G239" s="59" t="str">
        <x:v>Presentation-oriented label or bilingual display value.</x:v>
      </x:c>
      <x:c r="H239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0" ht="15" customHeight="1">
      <x:c r="A240" s="57" t="str">
        <x:v>Partners</x:v>
      </x:c>
      <x:c r="B240" s="57" t="n">
        <x:v>16</x:v>
      </x:c>
      <x:c r="C240" s="59" t="str">
        <x:v>Summary - Completed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CONCATENATE("โอนแล้ว / Completed Settlement: ", TEXT([Completed Settlement]))</x:v>
      </x:c>
    </x:row>
    <x:row r="241" ht="15" customHeight="1">
      <x:c r="A241" s="57" t="str">
        <x:v>Partners</x:v>
      </x:c>
      <x:c r="B241" s="57" t="n">
        <x:v>17</x:v>
      </x:c>
      <x:c r="C241" s="59" t="str">
        <x:v>Summary - Total Profit Earned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CONCATENATE("กำไรรวมที่ได้รับ / Total Profit: ", TEXT([Total Profit Earned]))</x:v>
      </x:c>
    </x:row>
    <x:row r="242" ht="21.600000381469727" customHeight="1">
      <x:c r="A242" s="57" t="str">
        <x:v>Repayments</x:v>
      </x:c>
      <x:c r="B242" s="57" t="n">
        <x:v>1</x:v>
      </x:c>
      <x:c r="C242" s="59" t="str">
        <x:v>_RowNumber</x:v>
      </x:c>
      <x:c r="D242" s="59" t="str">
        <x:v>Physical / Number</x:v>
      </x:c>
      <x:c r="E242" s="57" t="str">
        <x:v>OLTP + OLAP</x:v>
      </x:c>
      <x:c r="F242" s="57" t="str">
        <x:v>-</x:v>
      </x:c>
      <x:c r="G242" s="59" t="str">
        <x:v>System-generated source-row ordinal; not a stable business key.</x:v>
      </x:c>
      <x:c r="H242" s="59" t="str">
        <x:v>Stored source column</x:v>
      </x:c>
    </x:row>
    <x:row r="243" ht="15" customHeight="1">
      <x:c r="A243" s="57" t="str">
        <x:v>Repayments</x:v>
      </x:c>
      <x:c r="B243" s="57" t="n">
        <x:v>2</x:v>
      </x:c>
      <x:c r="C243" s="59" t="str">
        <x:v>Row ID</x:v>
      </x:c>
      <x:c r="D243" s="59" t="str">
        <x:v>Physical / Text</x:v>
      </x:c>
      <x:c r="E243" s="57" t="str">
        <x:v>OLTP + OLAP</x:v>
      </x:c>
      <x:c r="F243" s="57" t="str">
        <x:v>Key, Required</x:v>
      </x:c>
      <x:c r="G243" s="59" t="str">
        <x:v>Immutable row key generated by the source database.</x:v>
      </x:c>
      <x:c r="H243" s="59" t="str">
        <x:v>Stored source column; initial value: UNIQUEID("PackedUUID")</x:v>
      </x:c>
    </x:row>
    <x:row r="244" ht="21.600000381469727" customHeight="1">
      <x:c r="A244" s="57" t="str">
        <x:v>Repayments</x:v>
      </x:c>
      <x:c r="B244" s="57" t="n">
        <x:v>3</x:v>
      </x:c>
      <x:c r="C244" s="59" t="str">
        <x:v>Payment Date</x:v>
      </x:c>
      <x:c r="D244" s="59" t="str">
        <x:v>Physical / Date</x:v>
      </x:c>
      <x:c r="E244" s="57" t="str">
        <x:v>OLTP + OLAP</x:v>
      </x:c>
      <x:c r="F244" s="57" t="str">
        <x:v>Label, Required</x:v>
      </x:c>
      <x:c r="G244" s="59" t="str">
        <x:v>Stores the source date for Payment Date.</x:v>
      </x:c>
      <x:c r="H244" s="59" t="str">
        <x:v>Stored source column; initial value: TODAY()</x:v>
      </x:c>
    </x:row>
    <x:row r="245" ht="21.600000381469727" customHeight="1">
      <x:c r="A245" s="57" t="str">
        <x:v>Repayments</x:v>
      </x:c>
      <x:c r="B245" s="57" t="n">
        <x:v>4</x:v>
      </x:c>
      <x:c r="C245" s="59" t="str">
        <x:v>Principal Paid</x:v>
      </x:c>
      <x:c r="D245" s="59" t="str">
        <x:v>Physical / Price</x:v>
      </x:c>
      <x:c r="E245" s="57" t="str">
        <x:v>OLTP + OLAP</x:v>
      </x:c>
      <x:c r="F245" s="57" t="str">
        <x:v>Required</x:v>
      </x:c>
      <x:c r="G245" s="59" t="str">
        <x:v>Stores the financially material source value for Principal Paid.</x:v>
      </x:c>
      <x:c r="H245" s="59" t="str">
        <x:v>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6" ht="15" customHeight="1">
      <x:c r="A246" s="57" t="str">
        <x:v>Repayments</x:v>
      </x:c>
      <x:c r="B246" s="57" t="n">
        <x:v>5</x:v>
      </x:c>
      <x:c r="C246" s="59" t="str">
        <x:v>Interest Paid</x:v>
      </x:c>
      <x:c r="D246" s="59" t="str">
        <x:v>Physical / Price</x:v>
      </x:c>
      <x:c r="E246" s="57" t="str">
        <x:v>OLTP + OLAP</x:v>
      </x:c>
      <x:c r="F246" s="57" t="str">
        <x:v>Required</x:v>
      </x:c>
      <x:c r="G246" s="59" t="str">
        <x:v>Stores the financially material source value for Interest Paid.</x:v>
      </x:c>
      <x:c r="H246" s="59" t="str">
        <x:v>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7" ht="15" customHeight="1">
      <x:c r="A247" s="57" t="str">
        <x:v>Repayments</x:v>
      </x:c>
      <x:c r="B247" s="57" t="n">
        <x:v>6</x:v>
      </x:c>
      <x:c r="C247" s="59" t="str">
        <x:v>Notes</x:v>
      </x:c>
      <x:c r="D247" s="59" t="str">
        <x:v>Physical / LongText</x:v>
      </x:c>
      <x:c r="E247" s="57" t="str">
        <x:v>OLTP + OLAP</x:v>
      </x:c>
      <x:c r="F247" s="57" t="str">
        <x:v>-</x:v>
      </x:c>
      <x:c r="G247" s="59" t="str">
        <x:v>Stores the authoritative source value for Notes.</x:v>
      </x:c>
      <x:c r="H247" s="59" t="str">
        <x:v>Stored source column</x:v>
      </x:c>
    </x:row>
    <x:row r="248" ht="15" customHeight="1">
      <x:c r="A248" s="57" t="str">
        <x:v>Repayments</x:v>
      </x:c>
      <x:c r="B248" s="57" t="n">
        <x:v>7</x:v>
      </x:c>
      <x:c r="C248" s="59" t="str">
        <x:v>Ref Loans</x:v>
      </x:c>
      <x:c r="D248" s="59" t="str">
        <x:v>Physical / Ref</x:v>
      </x:c>
      <x:c r="E248" s="57" t="str">
        <x:v>OLTP + OLAP</x:v>
      </x:c>
      <x:c r="F248" s="57" t="str">
        <x:v>-</x:v>
      </x:c>
      <x:c r="G248" s="59" t="str">
        <x:v>Reference key that links this row to the configured parent table.</x:v>
      </x:c>
      <x:c r="H248" s="59" t="str">
        <x:v>Stored source column</x:v>
      </x:c>
    </x:row>
    <x:row r="249" ht="15" customHeight="1">
      <x:c r="A249" s="57" t="str">
        <x:v>Repayments</x:v>
      </x:c>
      <x:c r="B249" s="57" t="n">
        <x:v>8</x:v>
      </x:c>
      <x:c r="C249" s="59" t="str">
        <x:v>Ref Charges</x:v>
      </x:c>
      <x:c r="D249" s="59" t="str">
        <x:v>Physical / Ref</x:v>
      </x:c>
      <x:c r="E249" s="57" t="str">
        <x:v>OLTP + OLAP</x:v>
      </x:c>
      <x:c r="F249" s="57" t="str">
        <x:v>Required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" customHeight="1">
      <x:c r="A250" s="57" t="str">
        <x:v>Repayments</x:v>
      </x:c>
      <x:c r="B250" s="57" t="n">
        <x:v>9</x:v>
      </x:c>
      <x:c r="C250" s="59" t="str">
        <x:v>Created By</x:v>
      </x:c>
      <x:c r="D250" s="59" t="str">
        <x:v>Physical / Email</x:v>
      </x:c>
      <x:c r="E250" s="57" t="str">
        <x:v>OLTP + OLAP</x:v>
      </x:c>
      <x:c r="F250" s="57" t="str">
        <x:v>PII</x:v>
      </x:c>
      <x:c r="G250" s="59" t="str">
        <x:v>Stores the authoritative source value for Created By.</x:v>
      </x:c>
      <x:c r="H250" s="59" t="str">
        <x:v>Stored source column; initial value: USEREMAIL()</x:v>
      </x:c>
    </x:row>
    <x:row r="251" ht="15" customHeight="1">
      <x:c r="A251" s="57" t="str">
        <x:v>Repayments</x:v>
      </x:c>
      <x:c r="B251" s="57" t="n">
        <x:v>10</x:v>
      </x:c>
      <x:c r="C251" s="59" t="str">
        <x:v>Borrower Name</x:v>
      </x:c>
      <x:c r="D251" s="59" t="str">
        <x:v>VC / Name</x:v>
      </x:c>
      <x:c r="E251" s="57" t="str">
        <x:v>OLTP + OLAP</x:v>
      </x:c>
      <x:c r="F251" s="57" t="str">
        <x:v>-</x:v>
      </x:c>
      <x:c r="G251" s="59" t="str">
        <x:v>Derived AppSheet value used by the app workflow, presentation, or reporting model.</x:v>
      </x:c>
      <x:c r="H251" s="59" t="str">
        <x:v>[Ref Loans].[Borrower Name]</x:v>
      </x:c>
    </x:row>
    <x:row r="252" ht="21.600000381469727" customHeight="1">
      <x:c r="A252" s="57" t="str">
        <x:v>Repayments</x:v>
      </x:c>
      <x:c r="B252" s="57" t="n">
        <x:v>11</x:v>
      </x:c>
      <x:c r="C252" s="59" t="str">
        <x:v>Principal Returned Days MTD</x:v>
      </x:c>
      <x:c r="D252" s="59" t="str">
        <x:v>VC / Number</x:v>
      </x:c>
      <x:c r="E252" s="57" t="str">
        <x:v>OLTP + OLAP</x:v>
      </x:c>
      <x:c r="F252" s="57" t="str">
        <x:v>-</x:v>
      </x:c>
      <x:c r="G252" s="59" t="str">
        <x:v>Derived ratio or performance measure calculated from governed source values.</x:v>
      </x:c>
      <x:c r="H252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3" ht="15" customHeight="1">
      <x:c r="A253" s="57" t="str">
        <x:v>Repayments</x:v>
      </x:c>
      <x:c r="B253" s="57" t="n">
        <x:v>12</x:v>
      </x:c>
      <x:c r="C253" s="59" t="str">
        <x:v>Pool Total at Payment Date</x:v>
      </x:c>
      <x:c r="D253" s="59" t="str">
        <x:v>VC / Price</x:v>
      </x:c>
      <x:c r="E253" s="57" t="str">
        <x:v>OLAP only</x:v>
      </x:c>
      <x:c r="F253" s="57" t="str">
        <x:v>-</x:v>
      </x:c>
      <x:c r="G253" s="59" t="str">
        <x:v>Derived date, time-window, age, or delinquency measure.</x:v>
      </x:c>
      <x:c r="H253" s="59" t="str">
        <x:v>SUM( SELECT( Cash Pool Contributions[Net Contribution], [Contribution Date] &lt;= [_THISROW].[Payment Date] ))</x:v>
      </x:c>
    </x:row>
    <x:row r="254" ht="15" customHeight="1">
      <x:c r="A254" s="57" t="str">
        <x:v>Repayments</x:v>
      </x:c>
      <x:c r="B254" s="57" t="n">
        <x:v>13</x:v>
      </x:c>
      <x:c r="C254" s="59" t="str">
        <x:v>Partner A Contribution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AND( [Contribution Date] &lt;= [_THISROW].[Payment Date], [Ref Partner].[Partner Role] = "A" ) ))</x:v>
      </x:c>
    </x:row>
    <x:row r="255" ht="15" customHeight="1">
      <x:c r="A255" s="57" t="str">
        <x:v>Repayments</x:v>
      </x:c>
      <x:c r="B255" s="57" t="n">
        <x:v>14</x:v>
      </x:c>
      <x:c r="C255" s="59" t="str">
        <x:v>Partner B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"B" ) ))</x:v>
      </x:c>
    </x:row>
    <x:row r="256" ht="15" customHeight="1">
      <x:c r="A256" s="57" t="str">
        <x:v>Repayments</x:v>
      </x:c>
      <x:c r="B256" s="57" t="n">
        <x:v>15</x:v>
      </x:c>
      <x:c r="C256" s="59" t="str">
        <x:v>Partner A Profit Share</x:v>
      </x:c>
      <x:c r="D256" s="59" t="str">
        <x:v>VC / Percent</x:v>
      </x:c>
      <x:c r="E256" s="57" t="str">
        <x:v>OLAP only</x:v>
      </x:c>
      <x:c r="F256" s="57" t="str">
        <x:v>-</x:v>
      </x:c>
      <x:c r="G256" s="59" t="str">
        <x:v>Derived ratio or performance measure calculated from governed source values.</x:v>
      </x:c>
      <x:c r="H256" s="59" t="str">
        <x:v>IF( [Pool Total at Payment Date] &gt; 0, [Partner A Contribution at Payment Date] / [Pool Total at Payment Date], 0)</x:v>
      </x:c>
    </x:row>
    <x:row r="257" ht="15" customHeight="1">
      <x:c r="A257" s="57" t="str">
        <x:v>Repayments</x:v>
      </x:c>
      <x:c r="B257" s="57" t="n">
        <x:v>16</x:v>
      </x:c>
      <x:c r="C257" s="59" t="str">
        <x:v>Partner B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B Contribution at Payment Date] / [Pool Total at Payment Date], 0)</x:v>
      </x:c>
    </x:row>
    <x:row r="258" ht="15" customHeight="1">
      <x:c r="A258" s="57" t="str">
        <x:v>Repayments</x:v>
      </x:c>
      <x:c r="B258" s="57" t="n">
        <x:v>17</x:v>
      </x:c>
      <x:c r="C258" s="59" t="str">
        <x:v>Partner A Profit</x:v>
      </x:c>
      <x:c r="D258" s="59" t="str">
        <x:v>VC / Price</x:v>
      </x:c>
      <x:c r="E258" s="57" t="str">
        <x:v>OLAP only</x:v>
      </x:c>
      <x:c r="F258" s="57" t="str">
        <x:v>-</x:v>
      </x:c>
      <x:c r="G258" s="59" t="str">
        <x:v>Derived financial aggregate or balance for operational or analytical use.</x:v>
      </x:c>
      <x:c r="H258" s="59" t="str">
        <x:v>[Interest Paid] * [Partner A Profit Share]</x:v>
      </x:c>
    </x:row>
    <x:row r="259" ht="15" customHeight="1">
      <x:c r="A259" s="57" t="str">
        <x:v>Repayments</x:v>
      </x:c>
      <x:c r="B259" s="57" t="n">
        <x:v>18</x:v>
      </x:c>
      <x:c r="C259" s="59" t="str">
        <x:v>Partner B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B Profit Share]</x:v>
      </x:c>
    </x:row>
    <x:row r="260" ht="15" customHeight="1">
      <x:c r="A260" s="57" t="str">
        <x:v>Repayments</x:v>
      </x:c>
      <x:c r="B260" s="57" t="n">
        <x:v>19</x:v>
      </x:c>
      <x:c r="C260" s="59" t="str">
        <x:v>Header - Profit</x:v>
      </x:c>
      <x:c r="D260" s="59" t="str">
        <x:v>VC / Text</x:v>
      </x:c>
      <x:c r="E260" s="57" t="str">
        <x:v>OLAP only</x:v>
      </x:c>
      <x:c r="F260" s="57" t="str">
        <x:v>-</x:v>
      </x:c>
      <x:c r="G260" s="59" t="str">
        <x:v>Presentation-oriented label or bilingual display value.</x:v>
      </x:c>
      <x:c r="H260" s="59" t="str">
        <x:v>💰 การแบ่งกำไร</x:v>
      </x:c>
    </x:row>
    <x:row r="261" ht="15" customHeight="1">
      <x:c r="A261" s="57" t="str">
        <x:v>Repayments</x:v>
      </x:c>
      <x:c r="B261" s="57" t="n">
        <x:v>20</x:v>
      </x:c>
      <x:c r="C261" s="59" t="str">
        <x:v>Borrower Name TE</x:v>
      </x:c>
      <x:c r="D261" s="59" t="str">
        <x:v>VC / Text</x:v>
      </x:c>
      <x:c r="E261" s="57" t="str">
        <x:v>OLTP + OLAP</x:v>
      </x:c>
      <x:c r="F261" s="57" t="str">
        <x:v>-</x:v>
      </x:c>
      <x:c r="G261" s="59" t="str">
        <x:v>Presentation-oriented label or bilingual display value.</x:v>
      </x:c>
      <x:c r="H261" s="59" t="str">
        <x:v>[Ref Loans].[Borrower Name TE]</x:v>
      </x:c>
    </x:row>
    <x:row r="262" ht="15" customHeight="1">
      <x:c r="A262" s="57" t="str">
        <x:v>Repayments</x:v>
      </x:c>
      <x:c r="B262" s="57" t="n">
        <x:v>21</x:v>
      </x:c>
      <x:c r="C262" s="59" t="str">
        <x:v>30D Principal Reduction Days</x:v>
      </x:c>
      <x:c r="D262" s="59" t="str">
        <x:v>VC / Decimal</x:v>
      </x:c>
      <x:c r="E262" s="57" t="str">
        <x:v>OLAP only</x:v>
      </x:c>
      <x:c r="F262" s="57" t="str">
        <x:v>-</x:v>
      </x:c>
      <x:c r="G262" s="59" t="str">
        <x:v>Derived date, time-window, age, or delinquency measure.</x:v>
      </x:c>
      <x:c r="H262" s="59" t="str">
        <x:v>IF( OR([Payment Date] &lt; TODAY() - 29, [Payment Date] &gt; TODAY()), 0, [Principal Paid] * ( FLOOR(TOTALHOURS(TODAY() - [Payment Date]) / 24) + 1 ))</x:v>
      </x:c>
    </x:row>
    <x:row r="263" ht="15" customHeight="1">
      <x:c r="A263" s="57" t="str">
        <x:v>Repayments</x:v>
      </x:c>
      <x:c r="B263" s="57" t="n">
        <x:v>22</x:v>
      </x:c>
      <x:c r="C263" s="59" t="str">
        <x:v>Amount Received</x:v>
      </x:c>
      <x:c r="D263" s="59" t="str">
        <x:v>VC / Price</x:v>
      </x:c>
      <x:c r="E263" s="57" t="str">
        <x:v>OLTP + OLAP</x:v>
      </x:c>
      <x:c r="F263" s="57" t="str">
        <x:v>-</x:v>
      </x:c>
      <x:c r="G263" s="59" t="str">
        <x:v>Derived financial aggregate or balance for operational or analytical use.</x:v>
      </x:c>
      <x:c r="H263" s="59" t="str">
        <x:v>[Principal Paid] + [Interest Paid]</x:v>
      </x:c>
    </x:row>
    <x:row r="264" ht="15" customHeight="1">
      <x:c r="A264" s="57" t="str">
        <x:v>Settlements</x:v>
      </x:c>
      <x:c r="B264" s="57" t="n">
        <x:v>1</x:v>
      </x:c>
      <x:c r="C264" s="59" t="str">
        <x:v>_RowNumber</x:v>
      </x:c>
      <x:c r="D264" s="59" t="str">
        <x:v>Physical / Number</x:v>
      </x:c>
      <x:c r="E264" s="57" t="str">
        <x:v>OLAP only</x:v>
      </x:c>
      <x:c r="F264" s="57" t="str">
        <x:v>-</x:v>
      </x:c>
      <x:c r="G264" s="59" t="str">
        <x:v>System-generated source-row ordinal; not a stable business key.</x:v>
      </x:c>
      <x:c r="H264" s="59" t="str">
        <x:v>Stored source column</x:v>
      </x:c>
    </x:row>
    <x:row r="265" ht="15" customHeight="1">
      <x:c r="A265" s="57" t="str">
        <x:v>Settlements</x:v>
      </x:c>
      <x:c r="B265" s="57" t="n">
        <x:v>2</x:v>
      </x:c>
      <x:c r="C265" s="59" t="str">
        <x:v>Row ID</x:v>
      </x:c>
      <x:c r="D265" s="59" t="str">
        <x:v>Physical / Text</x:v>
      </x:c>
      <x:c r="E265" s="57" t="str">
        <x:v>OLAP only</x:v>
      </x:c>
      <x:c r="F265" s="57" t="str">
        <x:v>Key, Required</x:v>
      </x:c>
      <x:c r="G265" s="59" t="str">
        <x:v>Immutable row key generated by the source database.</x:v>
      </x:c>
      <x:c r="H265" s="59" t="str">
        <x:v>Stored source column; initial value: UNIQUEID("PackedUUID")</x:v>
      </x:c>
    </x:row>
    <x:row r="266" ht="15" customHeight="1">
      <x:c r="A266" s="57" t="str">
        <x:v>Settlements</x:v>
      </x:c>
      <x:c r="B266" s="57" t="n">
        <x:v>3</x:v>
      </x:c>
      <x:c r="C266" s="59" t="str">
        <x:v>Settlement Date</x:v>
      </x:c>
      <x:c r="D266" s="59" t="str">
        <x:v>Physical / Date</x:v>
      </x:c>
      <x:c r="E266" s="57" t="str">
        <x:v>OLAP only</x:v>
      </x:c>
      <x:c r="F266" s="57" t="str">
        <x:v>Label</x:v>
      </x:c>
      <x:c r="G266" s="59" t="str">
        <x:v>Stores the source date for Settlement Date.</x:v>
      </x:c>
      <x:c r="H266" s="59" t="str">
        <x:v>Stored source column; initial value: TODAY()</x:v>
      </x:c>
    </x:row>
    <x:row r="267" ht="15" customHeight="1">
      <x:c r="A267" s="57" t="str">
        <x:v>Settlements</x:v>
      </x:c>
      <x:c r="B267" s="57" t="n">
        <x:v>4</x:v>
      </x:c>
      <x:c r="C267" s="59" t="str">
        <x:v>Ref Partner</x:v>
      </x:c>
      <x:c r="D267" s="59" t="str">
        <x:v>Physical / Ref</x:v>
      </x:c>
      <x:c r="E267" s="57" t="str">
        <x:v>OLAP only</x:v>
      </x:c>
      <x:c r="F267" s="57" t="str">
        <x:v>-</x:v>
      </x:c>
      <x:c r="G267" s="59" t="str">
        <x:v>Reference key that links this row to the configured parent table.</x:v>
      </x:c>
      <x:c r="H267" s="59" t="str">
        <x:v>Stored source column</x:v>
      </x:c>
    </x:row>
    <x:row r="268" ht="15" customHeight="1">
      <x:c r="A268" s="57" t="str">
        <x:v>Settlements</x:v>
      </x:c>
      <x:c r="B268" s="57" t="n">
        <x:v>5</x:v>
      </x:c>
      <x:c r="C268" s="59" t="str">
        <x:v>Amount</x:v>
      </x:c>
      <x:c r="D268" s="59" t="str">
        <x:v>Physical / Price</x:v>
      </x:c>
      <x:c r="E268" s="57" t="str">
        <x:v>OLAP only</x:v>
      </x:c>
      <x:c r="F268" s="57" t="str">
        <x:v>-</x:v>
      </x:c>
      <x:c r="G268" s="59" t="str">
        <x:v>Stores the financially material source value for Amount.</x:v>
      </x:c>
      <x:c r="H268" s="59" t="str">
        <x:v>Stored source column</x:v>
      </x:c>
    </x:row>
    <x:row r="269" ht="15" customHeight="1">
      <x:c r="A269" s="57" t="str">
        <x:v>Settlements</x:v>
      </x:c>
      <x:c r="B269" s="57" t="n">
        <x:v>6</x:v>
      </x:c>
      <x:c r="C269" s="59" t="str">
        <x:v>Status</x:v>
      </x:c>
      <x:c r="D269" s="59" t="str">
        <x:v>Physical / Enum</x:v>
      </x:c>
      <x:c r="E269" s="57" t="str">
        <x:v>OLAP only</x:v>
      </x:c>
      <x:c r="F269" s="57" t="str">
        <x:v>-</x:v>
      </x:c>
      <x:c r="G269" s="59" t="str">
        <x:v>Stores the controlled workflow state for Status.</x:v>
      </x:c>
      <x:c r="H269" s="59" t="str">
        <x:v>Stored source column; initial value: "Pending"</x:v>
      </x:c>
    </x:row>
    <x:row r="270" ht="21.600000381469727" customHeight="1">
      <x:c r="A270" s="57" t="str">
        <x:v>Settlements</x:v>
      </x:c>
      <x:c r="B270" s="57" t="n">
        <x:v>7</x:v>
      </x:c>
      <x:c r="C270" s="59" t="str">
        <x:v>Transfer Date</x:v>
      </x:c>
      <x:c r="D270" s="59" t="str">
        <x:v>Physical / Date</x:v>
      </x:c>
      <x:c r="E270" s="57" t="str">
        <x:v>OLAP only</x:v>
      </x:c>
      <x:c r="F270" s="57" t="str">
        <x:v>-</x:v>
      </x:c>
      <x:c r="G270" s="59" t="str">
        <x:v>Stores the source date for Transfer Date.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8</x:v>
      </x:c>
      <x:c r="C271" s="59" t="str">
        <x:v>Notes</x:v>
      </x:c>
      <x:c r="D271" s="59" t="str">
        <x:v>Physical / LongText</x:v>
      </x:c>
      <x:c r="E271" s="57" t="str">
        <x:v>OLAP only</x:v>
      </x:c>
      <x:c r="F271" s="57" t="str">
        <x:v>-</x:v>
      </x:c>
      <x:c r="G271" s="59" t="str">
        <x:v>Stores the authoritative source value for Notes.</x:v>
      </x:c>
      <x:c r="H271" s="59" t="str">
        <x:v>Stored source column</x:v>
      </x:c>
    </x:row>
    <x:row r="272" ht="15" customHeight="1">
      <x:c r="A272" s="57" t="str">
        <x:v>Statistics</x:v>
      </x:c>
      <x:c r="B272" s="57" t="n">
        <x:v>1</x:v>
      </x:c>
      <x:c r="C272" s="59" t="str">
        <x:v>_RowNumber</x:v>
      </x:c>
      <x:c r="D272" s="59" t="str">
        <x:v>Physical / Number</x:v>
      </x:c>
      <x:c r="E272" s="57" t="str">
        <x:v>OLTP + OLAP</x:v>
      </x:c>
      <x:c r="F272" s="57" t="str">
        <x:v>-</x:v>
      </x:c>
      <x:c r="G272" s="59" t="str">
        <x:v>System-generated source-row ordinal; not a stable business key.</x:v>
      </x:c>
      <x:c r="H272" s="59" t="str">
        <x:v>Stored source column</x:v>
      </x:c>
    </x:row>
    <x:row r="273" ht="21.600000381469727" customHeight="1">
      <x:c r="A273" s="57" t="str">
        <x:v>Statistics</x:v>
      </x:c>
      <x:c r="B273" s="57" t="n">
        <x:v>2</x:v>
      </x:c>
      <x:c r="C273" s="59" t="str">
        <x:v>Row ID</x:v>
      </x:c>
      <x:c r="D273" s="59" t="str">
        <x:v>Physical / Text</x:v>
      </x:c>
      <x:c r="E273" s="57" t="str">
        <x:v>OLTP + OLAP</x:v>
      </x:c>
      <x:c r="F273" s="57" t="str">
        <x:v>Key, Required</x:v>
      </x:c>
      <x:c r="G273" s="59" t="str">
        <x:v>Immutable row key generated by the source database.</x:v>
      </x:c>
      <x:c r="H273" s="59" t="str">
        <x:v>Stored source column; initial value: UNIQUEID("PackedUUID")</x:v>
      </x:c>
    </x:row>
    <x:row r="274" ht="21.600000381469727" customHeight="1">
      <x:c r="A274" s="57" t="str">
        <x:v>Statistics</x:v>
      </x:c>
      <x:c r="B274" s="57" t="n">
        <x:v>3</x:v>
      </x:c>
      <x:c r="C274" s="59" t="str">
        <x:v>Statistics ID</x:v>
      </x:c>
      <x:c r="D274" s="59" t="str">
        <x:v>Physical / Text</x:v>
      </x:c>
      <x:c r="E274" s="57" t="str">
        <x:v>OLTP + OLAP</x:v>
      </x:c>
      <x:c r="F274" s="57" t="str">
        <x:v>Label</x:v>
      </x:c>
      <x:c r="G274" s="59" t="str">
        <x:v>Stores the authoritative source value for Statistics ID.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4</x:v>
      </x:c>
      <x:c r="C275" s="59" t="str">
        <x:v>Total Profit</x:v>
      </x:c>
      <x:c r="D275" s="59" t="str">
        <x:v>VC / Price</x:v>
      </x:c>
      <x:c r="E275" s="57" t="str">
        <x:v>OLTP + OLAP</x:v>
      </x:c>
      <x:c r="F275" s="57" t="str">
        <x:v>-</x:v>
      </x:c>
      <x:c r="G275" s="59" t="str">
        <x:v>Derived financial aggregate or balance for operational or analytical use.</x:v>
      </x:c>
      <x:c r="H275" s="59" t="str">
        <x:v>SUM(Repayments[Interest Paid])</x:v>
      </x:c>
    </x:row>
    <x:row r="276" ht="15" customHeight="1">
      <x:c r="A276" s="57" t="str">
        <x:v>Statistics</x:v>
      </x:c>
      <x:c r="B276" s="57" t="n">
        <x:v>5</x:v>
      </x:c>
      <x:c r="C276" s="59" t="str">
        <x:v>Outstanding Principal</x:v>
      </x:c>
      <x:c r="D276" s="59" t="str">
        <x:v>VC / Price</x:v>
      </x:c>
      <x:c r="E276" s="57" t="str">
        <x:v>OLTP + OLAP</x:v>
      </x:c>
      <x:c r="F276" s="57" t="str">
        <x:v>-</x:v>
      </x:c>
      <x:c r="G276" s="59" t="str">
        <x:v>Derived financial aggregate or balance for operational or analytical use.</x:v>
      </x:c>
      <x:c r="H276" s="59" t="str">
        <x:v>SUM(Loans[Outstanding Principal])</x:v>
      </x:c>
    </x:row>
    <x:row r="277" ht="15" customHeight="1">
      <x:c r="A277" s="57" t="str">
        <x:v>Statistics</x:v>
      </x:c>
      <x:c r="B277" s="57" t="n">
        <x:v>6</x:v>
      </x:c>
      <x:c r="C277" s="59" t="str">
        <x:v>Active Loans</x:v>
      </x:c>
      <x:c r="D277" s="59" t="str">
        <x:v>VC / Number</x:v>
      </x:c>
      <x:c r="E277" s="57" t="str">
        <x:v>OLAP only</x:v>
      </x:c>
      <x:c r="F277" s="57" t="str">
        <x:v>-</x:v>
      </x:c>
      <x:c r="G277" s="59" t="str">
        <x:v>Derived count used for workload, portfolio, or risk analysis.</x:v>
      </x:c>
      <x:c r="H277" s="59" t="str">
        <x:v>COUNT( SELECT( Loans[Row ID], [Loan Status] = "ยังไม่ปิดยอด" ))</x:v>
      </x:c>
    </x:row>
    <x:row r="278" ht="21.600000381469727" customHeight="1">
      <x:c r="A278" s="57" t="str">
        <x:v>Statistics</x:v>
      </x:c>
      <x:c r="B278" s="57" t="n">
        <x:v>7</x:v>
      </x:c>
      <x:c r="C278" s="59" t="str">
        <x:v>Today's Profit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 SELECT( Repayments[Interest Paid], [Payment Date] = TODAY() ))</x:v>
      </x:c>
    </x:row>
    <x:row r="279" ht="15" customHeight="1">
      <x:c r="A279" s="57" t="str">
        <x:v>Statistics</x:v>
      </x:c>
      <x:c r="B279" s="57" t="n">
        <x:v>8</x:v>
      </x:c>
      <x:c r="C279" s="59" t="str">
        <x:v>Yesterday's Profit</x:v>
      </x:c>
      <x:c r="D279" s="59" t="str">
        <x:v>VC / Price</x:v>
      </x:c>
      <x:c r="E279" s="57" t="str">
        <x:v>OLTP + OLAP</x:v>
      </x:c>
      <x:c r="F279" s="57" t="str">
        <x:v>-</x:v>
      </x:c>
      <x:c r="G279" s="59" t="str">
        <x:v>Derived financial aggregate or balance for operational or analytical use.</x:v>
      </x:c>
      <x:c r="H279" s="59" t="str">
        <x:v>SUM( SELECT( Repayments[Interest Paid], [Payment Date] = TODAY() - 1 ))</x:v>
      </x:c>
    </x:row>
    <x:row r="280" ht="15" customHeight="1">
      <x:c r="A280" s="57" t="str">
        <x:v>Statistics</x:v>
      </x:c>
      <x:c r="B280" s="57" t="n">
        <x:v>9</x:v>
      </x:c>
      <x:c r="C280" s="59" t="str">
        <x:v>Realized Profit MTD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AND( MONTH([Payment Date]) = MONTH(TODAY()), YEAR([Payment Date]) = YEAR(TODAY()) ) ))</x:v>
      </x:c>
    </x:row>
    <x:row r="281" ht="15" customHeight="1">
      <x:c r="A281" s="57" t="str">
        <x:v>Statistics</x:v>
      </x:c>
      <x:c r="B281" s="57" t="n">
        <x:v>10</x:v>
      </x:c>
      <x:c r="C281" s="59" t="str">
        <x:v>Projected Monthly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Forecast aggregate combining realized MTD interest, remaining interest on all open Charges, and forecast remaining interest; interpret using the monthly forecast assumptions below.</x:v>
      </x:c>
      <x:c r="H281" s="59" t="str">
        <x:v>[Realized Profit MTD]+[Today's Outstanding Interest]+[Forecast Remaining Interest]</x:v>
      </x:c>
    </x:row>
    <x:row r="282" ht="15" customHeight="1">
      <x:c r="A282" s="57" t="str">
        <x:v>Statistics</x:v>
      </x:c>
      <x:c r="B282" s="57" t="n">
        <x:v>11</x:v>
      </x:c>
      <x:c r="C282" s="59" t="str">
        <x:v>Pending Payment Amount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Broad sum of all Charges[Amount Remaining] across dates and references; currently reconciles to Collection only while source referential integrity and population scope remain aligned.</x:v>
      </x:c>
      <x:c r="H282" s="59" t="str">
        <x:v>SUM(Charges[Amount Remaining])</x:v>
      </x:c>
    </x:row>
    <x:row r="283" ht="15" customHeight="1">
      <x:c r="A283" s="57" t="str">
        <x:v>Statistics</x:v>
      </x:c>
      <x:c r="B283" s="57" t="n">
        <x:v>12</x:v>
      </x:c>
      <x:c r="C283" s="59" t="str">
        <x:v>Forecast Remaining Interest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Sum of loan-level expected interest; daily loans include accrued but uncharged interest plus interest for days after today through month-end.</x:v>
      </x:c>
      <x:c r="H283" s="59" t="str">
        <x:v>SUM(Loans[Expected Interest This Month])</x:v>
      </x:c>
    </x:row>
    <x:row r="284" ht="15" customHeight="1">
      <x:c r="A284" s="57" t="str">
        <x:v>Statistics</x:v>
      </x:c>
      <x:c r="B284" s="57" t="n">
        <x:v>13</x:v>
      </x:c>
      <x:c r="C284" s="59" t="str">
        <x:v>Today's Outstanding Interest</x:v>
      </x:c>
      <x:c r="D284" s="59" t="str">
        <x:v>VC / Price</x:v>
      </x:c>
      <x:c r="E284" s="57" t="str">
        <x:v>OLTP + OLAP</x:v>
      </x:c>
      <x:c r="F284" s="57" t="str">
        <x:v>-</x:v>
      </x:c>
      <x:c r="G284" s="59" t="str">
        <x:v>Remaining interest across all open Charges without a Charge Date filter; may include prior-period arrears.</x:v>
      </x:c>
      <x:c r="H284" s="59" t="str">
        <x:v>SUM(Charges[Interest Remaining])</x:v>
      </x:c>
    </x:row>
    <x:row r="285" ht="15" customHeight="1">
      <x:c r="A285" s="57" t="str">
        <x:v>Statistics</x:v>
      </x:c>
      <x:c r="B285" s="57" t="n">
        <x:v>14</x:v>
      </x:c>
      <x:c r="C285" s="59" t="str">
        <x:v>Net Principal Days MTD</x:v>
      </x:c>
      <x:c r="D285" s="59" t="str">
        <x:v>VC / Number</x:v>
      </x:c>
      <x:c r="E285" s="57" t="str">
        <x:v>OLTP + OLAP</x:v>
      </x:c>
      <x:c r="F285" s="57" t="str">
        <x:v>Show: FALSE</x:v>
      </x:c>
      <x:c r="G285" s="59" t="str">
        <x:v>Derived date, time-window, age, or delinquency measure.</x:v>
      </x:c>
      <x:c r="H285" s="59" t="str">
        <x:v>SUM(Loans[Principal Days MTD]) - SUM(Repayments[Principal Returned Days MTD])</x:v>
      </x:c>
    </x:row>
    <x:row r="286" ht="15" customHeight="1">
      <x:c r="A286" s="57" t="str">
        <x:v>Statistics</x:v>
      </x:c>
      <x:c r="B286" s="57" t="n">
        <x:v>15</x:v>
      </x:c>
      <x:c r="C286" s="59" t="str">
        <x:v>Forecast Remaining Principal Days</x:v>
      </x:c>
      <x:c r="D286" s="59" t="str">
        <x:v>VC / Number</x:v>
      </x:c>
      <x:c r="E286" s="57" t="str">
        <x:v>OLTP + OLAP</x:v>
      </x:c>
      <x:c r="F286" s="57" t="str">
        <x:v>Show: FALSE</x:v>
      </x:c>
      <x:c r="G286" s="59" t="str">
        <x:v>Derived date, time-window, age, or delinquency measure.</x:v>
      </x:c>
      <x:c r="H286" s="59" t="str">
        <x:v>[Outstanding Principal] * ( DAY(EOMONTH(TODAY(), 0)) - DAY(TODAY()) )</x:v>
      </x:c>
    </x:row>
    <x:row r="287" ht="15" customHeight="1">
      <x:c r="A287" s="57" t="str">
        <x:v>Statistics</x:v>
      </x:c>
      <x:c r="B287" s="57" t="n">
        <x:v>16</x:v>
      </x:c>
      <x:c r="C287" s="59" t="str">
        <x:v>Forecast Average Daily Outstanding Principal</x:v>
      </x:c>
      <x:c r="D287" s="59" t="str">
        <x:v>VC / Price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( [Net Principal Days MTD] + [Forecast Remaining Principal Days] )/ DAY(EOMONTH(TODAY(), 0))</x:v>
      </x:c>
    </x:row>
    <x:row r="288" ht="15" customHeight="1">
      <x:c r="A288" s="57" t="str">
        <x:v>Statistics</x:v>
      </x:c>
      <x:c r="B288" s="57" t="n">
        <x:v>17</x:v>
      </x:c>
      <x:c r="C288" s="59" t="str">
        <x:v>Forecast Monthly Return on ADO</x:v>
      </x:c>
      <x:c r="D288" s="59" t="str">
        <x:v>VC / Percent</x:v>
      </x:c>
      <x:c r="E288" s="57" t="str">
        <x:v>OLTP + OLAP</x:v>
      </x:c>
      <x:c r="F288" s="57" t="str">
        <x:v>-</x:v>
      </x:c>
      <x:c r="G288" s="59" t="str">
        <x:v>Derived ratio or performance measure calculated from governed source values.</x:v>
      </x:c>
      <x:c r="H288" s="59" t="str">
        <x:v>IF( [Forecast Average Daily Outstanding Principal] &gt; 0, [Projected Monthly Profit] / [Forecast Average Daily Outstanding Principal], 0)</x:v>
      </x:c>
    </x:row>
    <x:row r="289" ht="15" customHeight="1">
      <x:c r="A289" s="57" t="str">
        <x:v>Statistics</x:v>
      </x:c>
      <x:c r="B289" s="57" t="n">
        <x:v>18</x:v>
      </x:c>
      <x:c r="C289" s="59" t="str">
        <x:v>Peak Cash Pool 30D</x:v>
      </x:c>
      <x:c r="D289" s="59" t="str">
        <x:v>VC / Price</x:v>
      </x:c>
      <x:c r="E289" s="57" t="str">
        <x:v>OLAP only</x:v>
      </x:c>
      <x:c r="F289" s="57" t="str">
        <x:v>-</x:v>
      </x:c>
      <x:c r="G289" s="59" t="str">
        <x:v>Derived financial aggregate or balance for operational or analytical use.</x:v>
      </x:c>
      <x:c r="H289" s="59" t="str">
        <x:v>IF( COUNT(Daily Analytics 30 Days[Row ID]) &gt; 0, MAX(Daily Analytics 30 Days[Outstanding Principal EOD]), 0)</x:v>
      </x:c>
    </x:row>
    <x:row r="290" ht="15" customHeight="1">
      <x:c r="A290" s="57" t="str">
        <x:v>Statistics</x:v>
      </x:c>
      <x:c r="B290" s="57" t="n">
        <x:v>19</x:v>
      </x:c>
      <x:c r="C290" s="59" t="str">
        <x:v>Peak Cash Pool Date 30D</x:v>
      </x:c>
      <x:c r="D290" s="59" t="str">
        <x:v>VC / Date</x:v>
      </x:c>
      <x:c r="E290" s="57" t="str">
        <x:v>OLAP only</x:v>
      </x:c>
      <x:c r="F290" s="57" t="str">
        <x:v>-</x:v>
      </x:c>
      <x:c r="G290" s="59" t="str">
        <x:v>Derived date, time-window, age, or delinquency measure.</x:v>
      </x:c>
      <x:c r="H290" s="59" t="str">
        <x:v>MAX( SELECT( Daily Analytics 30 Days[Snapshot Date], [Outstanding Principal EOD] = [_THISROW].[Peak Cash Pool 30D] ))</x:v>
      </x:c>
    </x:row>
    <x:row r="291" ht="21.600000381469727" customHeight="1">
      <x:c r="A291" s="57" t="str">
        <x:v>Statistics</x:v>
      </x:c>
      <x:c r="B291" s="57" t="n">
        <x:v>20</x:v>
      </x:c>
      <x:c r="C291" s="59" t="str">
        <x:v>Expected Daily Interest</x:v>
      </x:c>
      <x:c r="D291" s="59" t="str">
        <x:v>VC / Price</x:v>
      </x:c>
      <x:c r="E291" s="57" t="str">
        <x:v>OLTP + OLAP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SUM(Loans[Expected Daily Interest Amount])</x:v>
      </x:c>
    </x:row>
    <x:row r="292" ht="15" customHeight="1">
      <x:c r="A292" s="57" t="str">
        <x:v>Statistics</x:v>
      </x:c>
      <x:c r="B292" s="57" t="n">
        <x:v>21</x:v>
      </x:c>
      <x:c r="C292" s="59" t="str">
        <x:v>Total Profit of Outstanding Loans</x:v>
      </x:c>
      <x:c r="D292" s="59" t="str">
        <x:v>VC / Price</x:v>
      </x:c>
      <x:c r="E292" s="57" t="str">
        <x:v>OLTP + OLAP</x:v>
      </x:c>
      <x:c r="F292" s="57" t="str">
        <x:v>-</x:v>
      </x:c>
      <x:c r="G292" s="59" t="str">
        <x:v>Derived financial aggregate or balance for operational or analytical use.</x:v>
      </x:c>
      <x:c r="H292" s="59" t="str">
        <x:v>SUM(SELECT(Loans[Total Interest Received], [Loan Status] = "ยังไม่ปิดยอด"))</x:v>
      </x:c>
    </x:row>
    <x:row r="293" ht="15" customHeight="1">
      <x:c r="A293" s="57" t="str">
        <x:v>Statistics</x:v>
      </x:c>
      <x:c r="B293" s="57" t="n">
        <x:v>22</x:v>
      </x:c>
      <x:c r="C293" s="59" t="str">
        <x:v>Profit Coverage of Outstanding Principal</x:v>
      </x:c>
      <x:c r="D293" s="59" t="str">
        <x:v>VC / Percent</x:v>
      </x:c>
      <x:c r="E293" s="57" t="str">
        <x:v>OLTP + OLAP</x:v>
      </x:c>
      <x:c r="F293" s="57" t="str">
        <x:v>-</x:v>
      </x:c>
      <x:c r="G293" s="59" t="str">
        <x:v>Derived ratio or performance measure calculated from governed source values.</x:v>
      </x:c>
      <x:c r="H293" s="59" t="str">
        <x:v>IF([Outstanding Principal] &gt; 0, [Total Profit of Outstanding Loans] / [Outstanding Principal], 0)</x:v>
      </x:c>
    </x:row>
    <x:row r="294" ht="15" customHeight="1">
      <x:c r="A294" s="57" t="str">
        <x:v>Statistics</x:v>
      </x:c>
      <x:c r="B294" s="57" t="n">
        <x:v>23</x:v>
      </x:c>
      <x:c r="C294" s="59" t="str">
        <x:v>Header - Outstanding Loans</x:v>
      </x:c>
      <x:c r="D294" s="59" t="str">
        <x:v>VC / Text</x:v>
      </x:c>
      <x:c r="E294" s="57" t="str">
        <x:v>OLTP + OLAP</x:v>
      </x:c>
      <x:c r="F294" s="57" t="str">
        <x:v>-</x:v>
      </x:c>
      <x:c r="G294" s="59" t="str">
        <x:v>Presentation-oriented label or bilingual display value.</x:v>
      </x:c>
      <x:c r="H294" s="59" t="str">
        <x:v>"──── สินเชื่อคงค้าง / Outstanding Loans ────"</x:v>
      </x:c>
    </x:row>
    <x:row r="295" ht="15" customHeight="1">
      <x:c r="A295" s="57" t="str">
        <x:v>Statistics</x:v>
      </x:c>
      <x:c r="B295" s="57" t="n">
        <x:v>24</x:v>
      </x:c>
      <x:c r="C295" s="59" t="str">
        <x:v>Header - Monthly Forecast</x:v>
      </x:c>
      <x:c r="D295" s="59" t="str">
        <x:v>VC / Text</x:v>
      </x:c>
      <x:c r="E295" s="57" t="str">
        <x:v>OLTP + OLAP</x:v>
      </x:c>
      <x:c r="F295" s="57" t="str">
        <x:v>-</x:v>
      </x:c>
      <x:c r="G295" s="59" t="str">
        <x:v>Presentation-oriented label or bilingual display value.</x:v>
      </x:c>
      <x:c r="H295" s="59" t="str">
        <x:v>"──── พยากรณ์ / Forecast ────"</x:v>
      </x:c>
    </x:row>
    <x:row r="296" ht="15" customHeight="1">
      <x:c r="A296" s="57" t="str">
        <x:v>Statistics</x:v>
      </x:c>
      <x:c r="B296" s="57" t="n">
        <x:v>25</x:v>
      </x:c>
      <x:c r="C296" s="59" t="str">
        <x:v>Total Cash Pool</x:v>
      </x:c>
      <x:c r="D296" s="59" t="str">
        <x:v>VC / Price</x:v>
      </x:c>
      <x:c r="E296" s="57" t="str">
        <x:v>OLAP only</x:v>
      </x:c>
      <x:c r="F296" s="57" t="str">
        <x:v>-</x:v>
      </x:c>
      <x:c r="G296" s="59" t="str">
        <x:v>Derived financial aggregate or balance for operational or analytical use.</x:v>
      </x:c>
      <x:c r="H296" s="59" t="str">
        <x:v>SUM(Cash Pool Contributions[Net Contribution])</x:v>
      </x:c>
    </x:row>
    <x:row r="297" ht="15" customHeight="1">
      <x:c r="A297" s="57" t="str">
        <x:v>Statistics</x:v>
      </x:c>
      <x:c r="B297" s="57" t="n">
        <x:v>26</x:v>
      </x:c>
      <x:c r="C297" s="59" t="str">
        <x:v>Total Unsettled Profit</x:v>
      </x:c>
      <x:c r="D297" s="59" t="str">
        <x:v>VC / Price</x:v>
      </x:c>
      <x:c r="E297" s="57" t="str">
        <x:v>OLAP only</x:v>
      </x:c>
      <x:c r="F297" s="57" t="str">
        <x:v>-</x:v>
      </x:c>
      <x:c r="G297" s="59" t="str">
        <x:v>Derived financial aggregate or balance for operational or analytical use.</x:v>
      </x:c>
      <x:c r="H297" s="59" t="str">
        <x:v>SUM(Partners[Total Profit Earned]) - SUM(Partners[Completed Settlement])</x:v>
      </x:c>
    </x:row>
    <x:row r="298" ht="15" customHeight="1">
      <x:c r="A298" s="57" t="str">
        <x:v>Statistics</x:v>
      </x:c>
      <x:c r="B298" s="57" t="n">
        <x:v>27</x:v>
      </x:c>
      <x:c r="C298" s="59" t="str">
        <x:v>Expected Loan Account Balance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count used for workload, portfolio, or risk analysis.</x:v>
      </x:c>
      <x:c r="H298" s="59" t="str">
        <x:v>[Total Cash Pool]-[Outstanding Principal]+[Total Unsettled Profit]</x:v>
      </x:c>
    </x:row>
    <x:row r="299" ht="15" customHeight="1">
      <x:c r="A299" s="57" t="str">
        <x:v>Statistics</x:v>
      </x:c>
      <x:c r="B299" s="57" t="n">
        <x:v>28</x:v>
      </x:c>
      <x:c r="C299" s="59" t="str">
        <x:v>Header - Cash Pool</x:v>
      </x:c>
      <x:c r="D299" s="59" t="str">
        <x:v>VC / Text</x:v>
      </x:c>
      <x:c r="E299" s="57" t="str">
        <x:v>OLAP only</x:v>
      </x:c>
      <x:c r="F299" s="57" t="str">
        <x:v>-</x:v>
      </x:c>
      <x:c r="G299" s="59" t="str">
        <x:v>Presentation-oriented label or bilingual display value.</x:v>
      </x:c>
      <x:c r="H299" s="59" t="str">
        <x:v>"──── เงินกองกลาง / Cash Pool ────"</x:v>
      </x:c>
    </x:row>
    <x:row r="300" ht="15" customHeight="1">
      <x:c r="A300" s="57" t="str">
        <x:v>Statistics</x:v>
      </x:c>
      <x:c r="B300" s="57" t="n">
        <x:v>29</x:v>
      </x:c>
      <x:c r="C300" s="59" t="str">
        <x:v>Total Outstanding Principal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financial aggregate or balance for operational or analytical use.</x:v>
      </x:c>
      <x:c r="H300" s="59" t="str">
        <x:v>[Outstanding Principal]</x:v>
      </x:c>
    </x:row>
    <x:row r="301">
      <x:c r="A301" s="57" t="str">
        <x:v>Statistics</x:v>
      </x:c>
      <x:c r="B301" s="57" t="n">
        <x:v>30</x:v>
      </x:c>
      <x:c r="C301" s="59" t="str">
        <x:v>Top 3 Borrower Concentration</x:v>
      </x:c>
      <x:c r="D301" s="59" t="str">
        <x:v>VC / Percent</x:v>
      </x:c>
      <x:c r="E301" s="57" t="str">
        <x:v>OLAP only</x:v>
      </x:c>
      <x:c r="F301" s="57" t="str">
        <x:v>-</x:v>
      </x:c>
      <x:c r="G301" s="59" t="str">
        <x:v>Derived AppSheet value used by the app workflow, presentation, or reporting model.</x:v>
      </x:c>
      <x:c r="H301" s="59" t="str">
        <x:v>IF( [Total Outstanding Principal] = 0, 0, SUM( TOP( SORT( SELECT( Borrowers[Total Outstanding Principal], [Total Outstanding Principal] &gt; 0 ), TRUE ), 3 ) ) / [Total Outstanding Principal])</x:v>
      </x:c>
    </x:row>
    <x:row r="302">
      <x:c r="A302" s="57" t="str">
        <x:v>Statistics</x:v>
      </x:c>
      <x:c r="B302" s="57" t="n">
        <x:v>31</x:v>
      </x:c>
      <x:c r="C302" s="59" t="str">
        <x:v>Borrowers Fully Paid Today</x:v>
      </x:c>
      <x:c r="D302" s="59" t="str">
        <x:v>VC / Number</x:v>
      </x:c>
      <x:c r="E302" s="57" t="str">
        <x:v>OLTP + OLAP</x:v>
      </x:c>
      <x:c r="F302" s="57" t="str">
        <x:v>Show_If: COUNT( SELECT( Borrowers[Row ID], [Daily Collection Status] = "Fully Paid" )) &gt; 0; Searchable</x:v>
      </x:c>
      <x:c r="G302" s="59" t="str">
        <x:v>Derived AppSheet value used by the app workflow, presentation, or reporting model.</x:v>
      </x:c>
      <x:c r="H302" s="59" t="str">
        <x:v>COUNT( SELECT( Borrowers[Row ID], [Daily Collection Status] = "Fully Paid" ))</x:v>
      </x:c>
    </x:row>
    <x:row r="303">
      <x:c r="A303" s="57" t="str">
        <x:v>Statistics</x:v>
      </x:c>
      <x:c r="B303" s="57" t="n">
        <x:v>32</x:v>
      </x:c>
      <x:c r="C303" s="59" t="str">
        <x:v>Borrowers Partially Paid Today</x:v>
      </x:c>
      <x:c r="D303" s="59" t="str">
        <x:v>VC / Number</x:v>
      </x:c>
      <x:c r="E303" s="57" t="str">
        <x:v>OLTP + OLAP</x:v>
      </x:c>
      <x:c r="F303" s="57" t="str">
        <x:v>Show_If: COUNT( SELECT( Borrowers[Row ID], [Daily Collection Status] = "Partially Paid" )) &gt; 0; Searchable</x:v>
      </x:c>
      <x:c r="G303" s="59" t="str">
        <x:v>Derived AppSheet value used by the app workflow, presentation, or reporting model.</x:v>
      </x:c>
      <x:c r="H303" s="59" t="str">
        <x:v>COUNT( SELECT( Borrowers[Row ID], [Daily Collection Status] = "Partially Paid" ))</x:v>
      </x:c>
    </x:row>
    <x:row r="304">
      <x:c r="A304" s="57" t="str">
        <x:v>Statistics</x:v>
      </x:c>
      <x:c r="B304" s="57" t="n">
        <x:v>33</x:v>
      </x:c>
      <x:c r="C304" s="59" t="str">
        <x:v>Borrowers with Overdue Payment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"Overdue"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"Overdue" ))</x:v>
      </x:c>
    </x:row>
    <x:row r="305">
      <x:c r="A305" s="57" t="str">
        <x:v>Statistics</x:v>
      </x:c>
      <x:c r="B305" s="57" t="n">
        <x:v>34</x:v>
      </x:c>
      <x:c r="C305" s="59" t="str">
        <x:v>Borrowers Not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"Not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"Not Paid" ))</x:v>
      </x:c>
    </x:row>
    <x:row r="306">
      <x:c r="A306" s="57" t="str">
        <x:v>Statistics</x:v>
      </x:c>
      <x:c r="B306" s="57" t="n">
        <x:v>35</x:v>
      </x:c>
      <x:c r="C306" s="59" t="str">
        <x:v>Header - Collection Status</x:v>
      </x:c>
      <x:c r="D306" s="59" t="str">
        <x:v>VC / Text</x:v>
      </x:c>
      <x:c r="E306" s="57" t="str">
        <x:v>OLTP + OLAP</x:v>
      </x:c>
      <x:c r="F306" s="57" t="str">
        <x:v>-</x:v>
      </x:c>
      <x:c r="G306" s="59" t="str">
        <x:v>Presentation-oriented label or bilingual display value.</x:v>
      </x:c>
      <x:c r="H306" s="59" t="str">
        <x:v>"──── สถานะชำระ / Collection ────"</x:v>
      </x:c>
    </x:row>
    <x:row r="307">
      <x:c r="A307" s="57" t="str">
        <x:v>Statistics</x:v>
      </x:c>
      <x:c r="B307" s="57" t="n">
        <x:v>36</x:v>
      </x:c>
      <x:c r="C307" s="59" t="str">
        <x:v>Amount Due Today</x:v>
      </x:c>
      <x:c r="D307" s="59" t="str">
        <x:v>VC / Price</x:v>
      </x:c>
      <x:c r="E307" s="57" t="str">
        <x:v>OLAP only</x:v>
      </x:c>
      <x:c r="F307" s="57" t="str">
        <x:v>-</x:v>
      </x:c>
      <x:c r="G307" s="59" t="str">
        <x:v>Derived financial aggregate or balance for operational or analytical use.</x:v>
      </x:c>
      <x:c r="H307" s="59" t="str">
        <x:v>SUM( SELECT( Charges[Amount Due], [Charge Date] = TODAY() ))</x:v>
      </x:c>
    </x:row>
    <x:row r="308">
      <x:c r="A308" s="57" t="str">
        <x:v>Statistics</x:v>
      </x:c>
      <x:c r="B308" s="57" t="n">
        <x:v>37</x:v>
      </x:c>
      <x:c r="C308" s="59" t="str">
        <x:v>Amount Collected Today</x:v>
      </x:c>
      <x:c r="D308" s="59" t="str">
        <x:v>VC / Price</x:v>
      </x:c>
      <x:c r="E308" s="57" t="str">
        <x:v>OLAP only</x:v>
      </x:c>
      <x:c r="F308" s="57" t="str">
        <x:v>-</x:v>
      </x:c>
      <x:c r="G308" s="59" t="str">
        <x:v>Derived financial aggregate or balance for operational or analytical use.</x:v>
      </x:c>
      <x:c r="H308" s="59" t="str">
        <x:v>SUM( SELECT( Charges[Total Paid], [Charge Date] = TODAY() ))</x:v>
      </x:c>
    </x:row>
    <x:row r="309">
      <x:c r="A309" t="str">
        <x:v>Statistics</x:v>
      </x:c>
      <x:c r="B309" t="n">
        <x:v>38</x:v>
      </x:c>
      <x:c r="C309" t="str">
        <x:v>Amount Outstanding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Remaining], [Charge Date] = TODAY() ))</x:v>
      </x:c>
    </x:row>
    <x:row r="310">
      <x:c r="A310" t="str">
        <x:v>Borrowers</x:v>
      </x:c>
      <x:c r="B310" t="n">
        <x:v>62</x:v>
      </x:c>
      <x:c r="C310" t="str">
        <x:v>Matrix Active Borrower Count</x:v>
      </x:c>
      <x:c r="D310" t="str">
        <x:v>VC / Number</x:v>
      </x:c>
      <x:c r="E310" t="str">
        <x:v>OLAP only</x:v>
      </x:c>
      <x:c r="F310" t="str">
        <x:v>Hidden; matrix helper</x:v>
      </x:c>
      <x:c r="G310" t="str">
        <x:v>Dynamic active-borrower population used to calculate the equal-share contribution benchmark.</x:v>
      </x:c>
      <x:c r="H310" t="str">
        <x:v>COUNT(SELECT(Borrowers[Row ID], [Has Active Loan] = TRUE))</x:v>
      </x:c>
    </x:row>
    <x:row r="311">
      <x:c r="A311" t="str">
        <x:v>Borrowers</x:v>
      </x:c>
      <x:c r="B311" t="n">
        <x:v>63</x:v>
      </x:c>
      <x:c r="C311" t="str">
        <x:v>Matrix Equal Share Benchmark</x:v>
      </x:c>
      <x:c r="D311" t="str">
        <x:v>VC / Percent</x:v>
      </x:c>
      <x:c r="E311" t="str">
        <x:v>OLAP only</x:v>
      </x:c>
      <x:c r="F311" t="str">
        <x:v>Hidden; matrix helper</x:v>
      </x:c>
      <x:c r="G311" t="str">
        <x:v>Equal-share economic-contribution benchmark; one divided by the current active-borrower count.</x:v>
      </x:c>
      <x:c r="H311" t="str">
        <x:v>IF([Matrix Active Borrower Count] &gt; 0, 1 / [Matrix Active Borrower Count], "")</x:v>
      </x:c>
    </x:row>
    <x:row r="312">
      <x:c r="A312" t="str">
        <x:v>Borrowers</x:v>
      </x:c>
      <x:c r="B312" t="n">
        <x:v>64</x:v>
      </x:c>
      <x:c r="C312" t="str">
        <x:v>Matrix Economic Contribution</x:v>
      </x:c>
      <x:c r="D312" t="str">
        <x:v>VC / Percent</x:v>
      </x:c>
      <x:c r="E312" t="str">
        <x:v>OLAP only</x:v>
      </x:c>
      <x:c r="F312" t="str">
        <x:v>Hidden; matrix X-axis</x:v>
      </x:c>
      <x:c r="G312" t="str">
        <x:v>Borrower share of positive realized interest profit over the trailing 30-day window among active borrowers.</x:v>
      </x:c>
      <x:c r="H312" t="str">
        <x:v>IF(SUM(SELECT(Borrowers[Profit Last 30 Days], [Has Active Loan] = TRUE)) &gt; 0, [Profit Last 30 Days] / SUM(SELECT(Borrowers[Profit Last 30 Days], [Has Active Loan] = TRUE)), "")</x:v>
      </x:c>
    </x:row>
    <x:row r="313">
      <x:c r="A313" t="str">
        <x:v>Borrowers</x:v>
      </x:c>
      <x:c r="B313" t="n">
        <x:v>65</x:v>
      </x:c>
      <x:c r="C313" t="str">
        <x:v>Matrix Recent Reliability Score</x:v>
      </x:c>
      <x:c r="D313" t="str">
        <x:v>VC / Number</x:v>
      </x:c>
      <x:c r="E313" t="str">
        <x:v>OLAP only</x:v>
      </x:c>
      <x:c r="F313" t="str">
        <x:v>Hidden; 0-100 component</x:v>
      </x:c>
      <x:c r="G313" t="str">
        <x:v>Recent 30-day on-time performance component of the stability score.</x:v>
      </x:c>
      <x:c r="H313" t="str">
        <x:v>IF([Recent 30D Charge Count] = 0, "", 100 * [Recent 30D On Time Count] / [Recent 30D Charge Count])</x:v>
      </x:c>
    </x:row>
    <x:row r="314">
      <x:c r="A314" t="str">
        <x:v>Borrowers</x:v>
      </x:c>
      <x:c r="B314" t="n">
        <x:v>66</x:v>
      </x:c>
      <x:c r="C314" t="str">
        <x:v>Matrix Historical Reliability Score</x:v>
      </x:c>
      <x:c r="D314" t="str">
        <x:v>VC / Number</x:v>
      </x:c>
      <x:c r="E314" t="str">
        <x:v>OLAP only</x:v>
      </x:c>
      <x:c r="F314" t="str">
        <x:v>Hidden; 0-100 component</x:v>
      </x:c>
      <x:c r="G314" t="str">
        <x:v>Trailing 180-day on-time performance component of the stability score.</x:v>
      </x:c>
      <x:c r="H314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5">
      <x:c r="A315" t="str">
        <x:v>Borrowers</x:v>
      </x:c>
      <x:c r="B315" t="n">
        <x:v>67</x:v>
      </x:c>
      <x:c r="C315" t="str">
        <x:v>Matrix Delay Severity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Trailing 90-day delay-severity component, with default status taking precedence over days-late bands.</x:v>
      </x:c>
      <x:c r="H315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6">
      <x:c r="A316" t="str">
        <x:v>Borrowers</x:v>
      </x:c>
      <x:c r="B316" t="n">
        <x:v>68</x:v>
      </x:c>
      <x:c r="C316" t="str">
        <x:v>Matrix Current Condition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Current repayment-condition component; due-today items are not overdue and partial due-today payment scores separately.</x:v>
      </x:c>
      <x:c r="H316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7">
      <x:c r="A317" t="str">
        <x:v>Borrowers</x:v>
      </x:c>
      <x:c r="B317" t="n">
        <x:v>69</x:v>
      </x:c>
      <x:c r="C317" t="str">
        <x:v>Matrix History Sufficient</x:v>
      </x:c>
      <x:c r="D317" t="str">
        <x:v>VC / Yes/No</x:v>
      </x:c>
      <x:c r="E317" t="str">
        <x:v>OLAP only</x:v>
      </x:c>
      <x:c r="F317" t="str">
        <x:v>Hidden; matrix quality flag</x:v>
      </x:c>
      <x:c r="G317" t="str">
        <x:v>Flags borrowers with at least three past-due obligations spanning at least 30 days.</x:v>
      </x:c>
      <x:c r="H317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18">
      <x:c r="A318" t="str">
        <x:v>Borrowers</x:v>
      </x:c>
      <x:c r="B318" t="n">
        <x:v>70</x:v>
      </x:c>
      <x:c r="C318" t="str">
        <x:v>Matrix Stability Score</x:v>
      </x:c>
      <x:c r="D318" t="str">
        <x:v>VC / Number</x:v>
      </x:c>
      <x:c r="E318" t="str">
        <x:v>OLAP only</x:v>
      </x:c>
      <x:c r="F318" t="str">
        <x:v>Hidden; matrix Y-axis; 0-100</x:v>
      </x:c>
      <x:c r="G318" t="str">
        <x:v>Weighted stability score with available-component normalization: recent reliability 45%, historical reliability 20%, delay severity 20%, and current condition 15%.</x:v>
      </x:c>
      <x:c r="H318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19">
      <x:c r="A319" t="str">
        <x:v>Borrowers</x:v>
      </x:c>
      <x:c r="B319" t="n">
        <x:v>71</x:v>
      </x:c>
      <x:c r="C319" t="str">
        <x:v>Matrix Quadrant</x:v>
      </x:c>
      <x:c r="D319" t="str">
        <x:v>VC / Text</x:v>
      </x:c>
      <x:c r="E319" t="str">
        <x:v>OLAP only</x:v>
      </x:c>
      <x:c r="F319" t="str">
        <x:v>Hidden; matrix classification</x:v>
      </x:c>
      <x:c r="G319" t="str">
        <x:v>Assigns active borrowers to Star, Cash Cow, Question Mark, Dog, provisional, or unclassified segments using the equal-share and 80-point thresholds.</x:v>
      </x:c>
      <x:c r="H319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0">
      <x:c r="A320" t="str">
        <x:v>Borrowers</x:v>
      </x:c>
      <x:c r="B320" t="n">
        <x:v>72</x:v>
      </x:c>
      <x:c r="C320" t="str">
        <x:v>Matrix Bubble Label</x:v>
      </x:c>
      <x:c r="D320" t="str">
        <x:v>VC / Text</x:v>
      </x:c>
      <x:c r="E320" t="str">
        <x:v>OLAP only</x:v>
      </x:c>
      <x:c r="F320" t="str">
        <x:v>Hidden; Looker dimension</x:v>
      </x:c>
      <x:c r="G320" t="str">
        <x:v>Borrower label with its matrix classification for borrower-grain Looker Studio bubbles.</x:v>
      </x:c>
      <x:c r="H320" t="str">
        <x:v>CONCATENATE([Borrower Name], " - " , [Matrix Quadrant])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fe1c21400d8846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30" customHeight="1">
      <x:c r="A2" s="7" t="str">
        <x:v>Direct Ref targets and Is a part of? settings retain the prior 2026-08-30 reconciliation; Charges[Ref Loans] Required = TRUE was re-verified in production OLTP on 2026-09-01.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961957c7f2d24f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Live slice filters, update permissions, purposes, and included-column counts; Reporting Borrowers expanded for the matrix on 2026-09-02.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15" customHeight="1">
      <x:c r="A5" s="56" t="str">
        <x:v>OLTP</x:v>
      </x:c>
      <x:c r="B5" s="58" t="str">
        <x:v>Todays Collection Board</x:v>
      </x:c>
      <x:c r="C5" s="56" t="str">
        <x:v>Borrowers</x:v>
      </x:c>
      <x:c r="D5" s="58" t="str">
        <x:v>ISNOTBLANK([Daily Collection Status])</x:v>
      </x:c>
      <x:c r="E5" s="56" t="str">
        <x:v>Read-only</x:v>
      </x:c>
      <x:c r="F5" s="56" t="n">
        <x:v>10</x:v>
      </x:c>
      <x:c r="G5" s="58" t="str">
        <x:v>Read-only borrower workboard restricted to borrowers with a current collection status.</x:v>
      </x:c>
      <x:c r="H5" s="58"/>
    </x:row>
    <x:row r="6" ht="15" customHeight="1">
      <x:c r="A6" s="56" t="str">
        <x:v>OLTP</x:v>
      </x:c>
      <x:c r="B6" s="58" t="str">
        <x:v>Visible Borrowers</x:v>
      </x:c>
      <x:c r="C6" s="56" t="str">
        <x:v>Borrowers</x:v>
      </x:c>
      <x:c r="D6" s="58" t="str">
        <x:v>NOT([Hidden Flag])</x:v>
      </x:c>
      <x:c r="E6" s="56" t="str">
        <x:v>Adds, updates, deletes</x:v>
      </x:c>
      <x:c r="F6" s="56" t="n">
        <x:v>32</x:v>
      </x:c>
      <x:c r="G6" s="58" t="str">
        <x:v>Editable borrower-list slice excluding hidden rows; includes the principal-coverage metric.</x:v>
      </x:c>
      <x:c r="H6" s="58" t="str">
        <x:v>Primary OLTP borrower-list slice. Excludes rows where [Hidden Flag] is TRUE; base-table relationships, loans, collections, and calculations remain unchanged.</x:v>
      </x:c>
    </x:row>
    <x:row r="7" ht="15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56</x:v>
      </x:c>
      <x:c r="G7" s="59" t="str">
        <x:v>Read-only OLAP subset of borrowers whose outstanding principal is greater than zero.</x:v>
      </x:c>
      <x:c r="H7" s="59"/>
    </x:row>
    <x:row r="8" ht="15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56</x:v>
      </x:c>
      <x:c r="G8" s="59" t="str">
        <x:v>Read-only OLAP subset of borrowers contributing positive interest profit in the last 30 days.</x:v>
      </x:c>
      <x:c r="H8" s="59"/>
    </x:row>
    <x:row r="9" ht="15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TRUE</x:v>
      </x:c>
      <x:c r="E9" s="57" t="str">
        <x:v>Read-only</x:v>
      </x:c>
      <x:c r="F9" s="57" t="n">
        <x:v>51</x:v>
      </x:c>
      <x:c r="G9" s="59" t="str">
        <x:v>Curated, read-only borrower feed for downstream reporting and dashboard reconciliation, including the borrower value/stability matrix fields.</x:v>
      </x:c>
      <x:c r="H9" s="59"/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d57652dc668f41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One row per live included slice column, preserving slice order; Reporting Borrowers expanded with eleven matrix fields on 2026-09-02.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Todays Collection Board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Todays Collection Board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Todays Collection Board</x:v>
      </x:c>
      <x:c r="C7" s="57" t="n">
        <x:v>3</x:v>
      </x:c>
      <x:c r="D7" s="59" t="str">
        <x:v>Borrower Name</x:v>
      </x:c>
    </x:row>
    <x:row r="8" ht="15" customHeight="1">
      <x:c r="A8" s="57" t="str">
        <x:v>OLTP</x:v>
      </x:c>
      <x:c r="B8" s="59" t="str">
        <x:v>Todays Collection Board</x:v>
      </x:c>
      <x:c r="C8" s="57" t="n">
        <x:v>4</x:v>
      </x:c>
      <x:c r="D8" s="59" t="str">
        <x:v>Description</x:v>
      </x:c>
    </x:row>
    <x:row r="9" ht="15" customHeight="1">
      <x:c r="A9" s="57" t="str">
        <x:v>OLTP</x:v>
      </x:c>
      <x:c r="B9" s="59" t="str">
        <x:v>Todays Collection Board</x:v>
      </x:c>
      <x:c r="C9" s="57" t="n">
        <x:v>5</x:v>
      </x:c>
      <x:c r="D9" s="59" t="str">
        <x:v>Daily Collection Status - Order</x:v>
      </x:c>
    </x:row>
    <x:row r="10" ht="15" customHeight="1">
      <x:c r="A10" s="57" t="str">
        <x:v>OLTP</x:v>
      </x:c>
      <x:c r="B10" s="59" t="str">
        <x:v>Todays Collection Board</x:v>
      </x:c>
      <x:c r="C10" s="57" t="n">
        <x:v>6</x:v>
      </x:c>
      <x:c r="D10" s="59" t="str">
        <x:v>Todays Amount Due</x:v>
      </x:c>
    </x:row>
    <x:row r="11" ht="15" customHeight="1">
      <x:c r="A11" s="57" t="str">
        <x:v>OLTP</x:v>
      </x:c>
      <x:c r="B11" s="59" t="str">
        <x:v>Todays Collection Board</x:v>
      </x:c>
      <x:c r="C11" s="57" t="n">
        <x:v>7</x:v>
      </x:c>
      <x:c r="D11" s="59" t="str">
        <x:v>Todays Amount Collected</x:v>
      </x:c>
    </x:row>
    <x:row r="12" ht="15" customHeight="1">
      <x:c r="A12" s="57" t="str">
        <x:v>OLTP</x:v>
      </x:c>
      <x:c r="B12" s="59" t="str">
        <x:v>Todays Collection Board</x:v>
      </x:c>
      <x:c r="C12" s="57" t="n">
        <x:v>8</x:v>
      </x:c>
      <x:c r="D12" s="59" t="str">
        <x:v>Todays Amount Remaining</x:v>
      </x:c>
    </x:row>
    <x:row r="13" ht="15" customHeight="1">
      <x:c r="A13" s="57" t="str">
        <x:v>OLTP</x:v>
      </x:c>
      <x:c r="B13" s="59" t="str">
        <x:v>Todays Collection Board</x:v>
      </x:c>
      <x:c r="C13" s="57" t="n">
        <x:v>9</x:v>
      </x:c>
      <x:c r="D13" s="59" t="str">
        <x:v>Todays Collection Charges</x:v>
      </x:c>
    </x:row>
    <x:row r="14" ht="15" customHeight="1">
      <x:c r="A14" s="57" t="str">
        <x:v>OLTP</x:v>
      </x:c>
      <x:c r="B14" s="59" t="str">
        <x:v>Todays Collection Board</x:v>
      </x:c>
      <x:c r="C14" s="57" t="n">
        <x:v>10</x:v>
      </x:c>
      <x:c r="D14" s="59" t="str">
        <x:v>Borrower Name - Collection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</x:v>
      </x:c>
      <x:c r="D15" s="59" t="str">
        <x:v>_RowNumber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2</x:v>
      </x:c>
      <x:c r="D16" s="59" t="str">
        <x:v>Row ID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3</x:v>
      </x:c>
      <x:c r="D17" s="59" t="str">
        <x:v>Borrower Name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4</x:v>
      </x:c>
      <x:c r="D18" s="59" t="str">
        <x:v>Telephone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5</x:v>
      </x:c>
      <x:c r="D19" s="59" t="str">
        <x:v>Description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6</x:v>
      </x:c>
      <x:c r="D20" s="59" t="str">
        <x:v>Creation Date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7</x:v>
      </x:c>
      <x:c r="D21" s="59" t="str">
        <x:v>Hidden Flag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8</x:v>
      </x:c>
      <x:c r="D22" s="59" t="str">
        <x:v>Related Loans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9</x:v>
      </x:c>
      <x:c r="D23" s="59" t="str">
        <x:v>Total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10</x:v>
      </x:c>
      <x:c r="D24" s="59" t="str">
        <x:v>Total Amount Loaned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11</x:v>
      </x:c>
      <x:c r="D25" s="59" t="str">
        <x:v>Total Number of Loans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12</x:v>
      </x:c>
      <x:c r="D26" s="59" t="str">
        <x:v>Total Outstanding Principal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13</x:v>
      </x:c>
      <x:c r="D27" s="59" t="str">
        <x:v>Header - Active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14</x:v>
      </x:c>
      <x:c r="D28" s="59" t="str">
        <x:v>Borrower Name TE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15</x:v>
      </x:c>
      <x:c r="D29" s="59" t="str">
        <x:v>Return on Active Principal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16</x:v>
      </x:c>
      <x:c r="D30" s="59" t="str">
        <x:v>Active Loan Interest Earned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17</x:v>
      </x:c>
      <x:c r="D31" s="59" t="str">
        <x:v>Active Daily Interest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18</x:v>
      </x:c>
      <x:c r="D32" s="59" t="str">
        <x:v>Projected Interest Coverage Date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19</x:v>
      </x:c>
      <x:c r="D33" s="59" t="str">
        <x:v>Closed Loan Interest Earned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20</x:v>
      </x:c>
      <x:c r="D34" s="59" t="str">
        <x:v>Closed Loan Principle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21</x:v>
      </x:c>
      <x:c r="D35" s="59" t="str">
        <x:v>Has Closed Loan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22</x:v>
      </x:c>
      <x:c r="D36" s="59" t="str">
        <x:v>Return on Closed Loans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23</x:v>
      </x:c>
      <x:c r="D37" s="59" t="str">
        <x:v>Header - Closed Loans</x:v>
      </x:c>
    </x:row>
    <x:row r="38" ht="15" customHeight="1">
      <x:c r="A38" s="57" t="str">
        <x:v>OLTP</x:v>
      </x:c>
      <x:c r="B38" s="59" t="str">
        <x:v>Visible Borrowers</x:v>
      </x:c>
      <x:c r="C38" s="57" t="n">
        <x:v>24</x:v>
      </x:c>
      <x:c r="D38" s="59" t="str">
        <x:v>Has Active Loan</x:v>
      </x:c>
    </x:row>
    <x:row r="39" ht="15" customHeight="1">
      <x:c r="A39" s="57" t="str">
        <x:v>OLTP</x:v>
      </x:c>
      <x:c r="B39" s="59" t="str">
        <x:v>Visible Borrowers</x:v>
      </x:c>
      <x:c r="C39" s="57" t="n">
        <x:v>25</x:v>
      </x:c>
      <x:c r="D39" s="59" t="str">
        <x:v>Daily Collection Status</x:v>
      </x:c>
    </x:row>
    <x:row r="40" ht="15" customHeight="1">
      <x:c r="A40" s="57" t="str">
        <x:v>OLTP</x:v>
      </x:c>
      <x:c r="B40" s="59" t="str">
        <x:v>Visible Borrowers</x:v>
      </x:c>
      <x:c r="C40" s="57" t="n">
        <x:v>26</x:v>
      </x:c>
      <x:c r="D40" s="59" t="str">
        <x:v>Todays Collection Charges</x:v>
      </x:c>
    </x:row>
    <x:row r="41" ht="15" customHeight="1">
      <x:c r="A41" s="57" t="str">
        <x:v>OLTP</x:v>
      </x:c>
      <x:c r="B41" s="59" t="str">
        <x:v>Visible Borrowers</x:v>
      </x:c>
      <x:c r="C41" s="57" t="n">
        <x:v>27</x:v>
      </x:c>
      <x:c r="D41" s="59" t="str">
        <x:v>Todays Amount Due</x:v>
      </x:c>
    </x:row>
    <x:row r="42" ht="15" customHeight="1">
      <x:c r="A42" s="57" t="str">
        <x:v>OLTP</x:v>
      </x:c>
      <x:c r="B42" s="59" t="str">
        <x:v>Visible Borrowers</x:v>
      </x:c>
      <x:c r="C42" s="57" t="n">
        <x:v>28</x:v>
      </x:c>
      <x:c r="D42" s="59" t="str">
        <x:v>Todays Amount Collected</x:v>
      </x:c>
    </x:row>
    <x:row r="43" ht="15" customHeight="1">
      <x:c r="A43" s="57" t="str">
        <x:v>OLTP</x:v>
      </x:c>
      <x:c r="B43" s="59" t="str">
        <x:v>Visible Borrowers</x:v>
      </x:c>
      <x:c r="C43" s="57" t="n">
        <x:v>29</x:v>
      </x:c>
      <x:c r="D43" s="59" t="str">
        <x:v>Todays Amount Remaining</x:v>
      </x:c>
    </x:row>
    <x:row r="44" ht="15" customHeight="1">
      <x:c r="A44" s="57" t="str">
        <x:v>OLTP</x:v>
      </x:c>
      <x:c r="B44" s="59" t="str">
        <x:v>Visible Borrowers</x:v>
      </x:c>
      <x:c r="C44" s="57" t="n">
        <x:v>30</x:v>
      </x:c>
      <x:c r="D44" s="59" t="str">
        <x:v>Daily Collection Status - Order</x:v>
      </x:c>
    </x:row>
    <x:row r="45" ht="15" customHeight="1">
      <x:c r="A45" s="57" t="str">
        <x:v>OLTP</x:v>
      </x:c>
      <x:c r="B45" s="59" t="str">
        <x:v>Visible Borrowers</x:v>
      </x:c>
      <x:c r="C45" s="57" t="n">
        <x:v>31</x:v>
      </x:c>
      <x:c r="D45" s="59" t="str">
        <x:v>Borrower Name - Collection</x:v>
      </x:c>
    </x:row>
    <x:row r="46" ht="15" customHeight="1">
      <x:c r="A46" s="57" t="str">
        <x:v>OLTP</x:v>
      </x:c>
      <x:c r="B46" s="59" t="str">
        <x:v>Visible Borrowers</x:v>
      </x:c>
      <x:c r="C46" s="57" t="n">
        <x:v>32</x:v>
      </x:c>
      <x:c r="D46" s="59" t="str">
        <x:v>Active Profit After Principal Coverage</x:v>
      </x:c>
    </x:row>
    <x:row r="47" ht="15" customHeight="1">
      <x:c r="A47" s="57" t="str">
        <x:v>OLAP</x:v>
      </x:c>
      <x:c r="B47" s="59" t="str">
        <x:v>Borrowers with Outstanding Loans</x:v>
      </x:c>
      <x:c r="C47" s="57" t="n">
        <x:v>1</x:v>
      </x:c>
      <x:c r="D47" s="59" t="str">
        <x:v>_RowNumber</x:v>
      </x:c>
    </x:row>
    <x:row r="48" ht="15" customHeight="1">
      <x:c r="A48" s="57" t="str">
        <x:v>OLAP</x:v>
      </x:c>
      <x:c r="B48" s="59" t="str">
        <x:v>Borrowers with Outstanding Loans</x:v>
      </x:c>
      <x:c r="C48" s="57" t="n">
        <x:v>2</x:v>
      </x:c>
      <x:c r="D48" s="59" t="str">
        <x:v>Row ID</x:v>
      </x:c>
    </x:row>
    <x:row r="49" ht="15" customHeight="1">
      <x:c r="A49" s="57" t="str">
        <x:v>OLAP</x:v>
      </x:c>
      <x:c r="B49" s="59" t="str">
        <x:v>Borrowers with Outstanding Loans</x:v>
      </x:c>
      <x:c r="C49" s="57" t="n">
        <x:v>3</x:v>
      </x:c>
      <x:c r="D49" s="59" t="str">
        <x:v>Borrower Name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4</x:v>
      </x:c>
      <x:c r="D50" s="59" t="str">
        <x:v>Telephone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5</x:v>
      </x:c>
      <x:c r="D51" s="59" t="str">
        <x:v>Description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6</x:v>
      </x:c>
      <x:c r="D52" s="59" t="str">
        <x:v>Creation Date</x:v>
      </x:c>
    </x:row>
    <x:row r="53" ht="15" customHeight="1">
      <x:c r="A53" s="57" t="str">
        <x:v>OLAP</x:v>
      </x:c>
      <x:c r="B53" s="59" t="str">
        <x:v>Borrowers with Outstanding Loans</x:v>
      </x:c>
      <x:c r="C53" s="57" t="n">
        <x:v>7</x:v>
      </x:c>
      <x:c r="D53" s="59" t="str">
        <x:v>Related Loans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8</x:v>
      </x:c>
      <x:c r="D54" s="59" t="str">
        <x:v>Total Interest Earned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9</x:v>
      </x:c>
      <x:c r="D55" s="59" t="str">
        <x:v>Total Amount Loaned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10</x:v>
      </x:c>
      <x:c r="D56" s="59" t="str">
        <x:v>Total Number of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11</x:v>
      </x:c>
      <x:c r="D57" s="59" t="str">
        <x:v>Total Outstanding Principal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12</x:v>
      </x:c>
      <x:c r="D58" s="59" t="str">
        <x:v>Header - Active Loans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13</x:v>
      </x:c>
      <x:c r="D59" s="59" t="str">
        <x:v>Borrower Name TE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14</x:v>
      </x:c>
      <x:c r="D60" s="59" t="str">
        <x:v>Return on Active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15</x:v>
      </x:c>
      <x:c r="D61" s="59" t="str">
        <x:v>Profit Last 30 Days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16</x:v>
      </x:c>
      <x:c r="D62" s="59" t="str">
        <x:v>Projected Interest Coverage Date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17</x:v>
      </x:c>
      <x:c r="D63" s="59" t="str">
        <x:v>Active Loan Interest Earned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18</x:v>
      </x:c>
      <x:c r="D64" s="59" t="str">
        <x:v>Active Daily Interest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19</x:v>
      </x:c>
      <x:c r="D65" s="59" t="str">
        <x:v>Related Loan Assessments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20</x:v>
      </x:c>
      <x:c r="D66" s="59" t="str">
        <x:v>Related Calendars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21</x:v>
      </x:c>
      <x:c r="D67" s="59" t="str">
        <x:v>Closed Loan Interest Earned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22</x:v>
      </x:c>
      <x:c r="D68" s="59" t="str">
        <x:v>Closed Loan Principle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23</x:v>
      </x:c>
      <x:c r="D69" s="59" t="str">
        <x:v>Has Closed Loan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24</x:v>
      </x:c>
      <x:c r="D70" s="59" t="str">
        <x:v>Return on Closed Loans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25</x:v>
      </x:c>
      <x:c r="D71" s="59" t="str">
        <x:v>Header - Closed Loans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26</x:v>
      </x:c>
      <x:c r="D72" s="59" t="str">
        <x:v>Has Active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27</x:v>
      </x:c>
      <x:c r="D73" s="59" t="str">
        <x:v>30D Gross Principal Days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28</x:v>
      </x:c>
      <x:c r="D74" s="59" t="str">
        <x:v>30D Principal Reduction Days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29</x:v>
      </x:c>
      <x:c r="D75" s="59" t="str">
        <x:v>30D Average Outstanding Principal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30</x:v>
      </x:c>
      <x:c r="D76" s="59" t="str">
        <x:v>30D Return on Average Principal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31</x:v>
      </x:c>
      <x:c r="D77" s="59" t="str">
        <x:v>Daily Collection Status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32</x:v>
      </x:c>
      <x:c r="D78" s="59" t="str">
        <x:v>Todays Collection Charges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33</x:v>
      </x:c>
      <x:c r="D79" s="59" t="str">
        <x:v>Todays Amount Due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34</x:v>
      </x:c>
      <x:c r="D80" s="59" t="str">
        <x:v>Todays Amount Collected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35</x:v>
      </x:c>
      <x:c r="D81" s="59" t="str">
        <x:v>Todays Amount Remaining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36</x:v>
      </x:c>
      <x:c r="D82" s="59" t="str">
        <x:v>Portfolio Exposure %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37</x:v>
      </x:c>
      <x:c r="D83" s="59" t="str">
        <x:v>Active Loan Count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38</x:v>
      </x:c>
      <x:c r="D84" s="59" t="str">
        <x:v>Oldest Active Loan Age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39</x:v>
      </x:c>
      <x:c r="D85" s="59" t="str">
        <x:v>Overdue Amount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40</x:v>
      </x:c>
      <x:c r="D86" s="59" t="str">
        <x:v>Overdue Charge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41</x:v>
      </x:c>
      <x:c r="D87" s="59" t="str">
        <x:v>Historical Charge Count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42</x:v>
      </x:c>
      <x:c r="D88" s="59" t="str">
        <x:v>On Time Charge Count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43</x:v>
      </x:c>
      <x:c r="D89" s="59" t="str">
        <x:v>Lifetime On Time Rate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44</x:v>
      </x:c>
      <x:c r="D90" s="59" t="str">
        <x:v>Recent 30D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45</x:v>
      </x:c>
      <x:c r="D91" s="59" t="str">
        <x:v>Recent 30D On Time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46</x:v>
      </x:c>
      <x:c r="D92" s="59" t="str">
        <x:v>Recent 30D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47</x:v>
      </x:c>
      <x:c r="D93" s="59" t="str">
        <x:v>Lifetime Late Payment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48</x:v>
      </x:c>
      <x:c r="D94" s="59" t="str">
        <x:v>Recent 30D Late Payment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49</x:v>
      </x:c>
      <x:c r="D95" s="59" t="str">
        <x:v>Maximum Days Late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50</x:v>
      </x:c>
      <x:c r="D96" s="59" t="str">
        <x:v>Last Late Payment Date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51</x:v>
      </x:c>
      <x:c r="D97" s="59" t="str">
        <x:v>Largest Successful Loan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52</x:v>
      </x:c>
      <x:c r="D98" s="59" t="str">
        <x:v>Average Successful Loan Size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53</x:v>
      </x:c>
      <x:c r="D99" s="59" t="str">
        <x:v>Default Count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54</x:v>
      </x:c>
      <x:c r="D100" s="59" t="str">
        <x:v>Lifetime Default Loss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55</x:v>
      </x:c>
      <x:c r="D101" s="59" t="str">
        <x:v>Portfolio Outstanding Principal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56</x:v>
      </x:c>
      <x:c r="D102" s="59" t="str">
        <x:v>Portfolio Share Join Key</x:v>
      </x:c>
    </x:row>
    <x:row r="103" ht="15" customHeight="1">
      <x:c r="A103" s="57" t="str">
        <x:v>OLAP</x:v>
      </x:c>
      <x:c r="B103" s="59" t="str">
        <x:v>Profit Contribution 30D</x:v>
      </x:c>
      <x:c r="C103" s="57" t="n">
        <x:v>1</x:v>
      </x:c>
      <x:c r="D103" s="59" t="str">
        <x:v>_RowNumber</x:v>
      </x:c>
    </x:row>
    <x:row r="104" ht="15" customHeight="1">
      <x:c r="A104" s="57" t="str">
        <x:v>OLAP</x:v>
      </x:c>
      <x:c r="B104" s="59" t="str">
        <x:v>Profit Contribution 30D</x:v>
      </x:c>
      <x:c r="C104" s="57" t="n">
        <x:v>2</x:v>
      </x:c>
      <x:c r="D104" s="59" t="str">
        <x:v>Row ID</x:v>
      </x:c>
    </x:row>
    <x:row r="105" ht="15" customHeight="1">
      <x:c r="A105" s="57" t="str">
        <x:v>OLAP</x:v>
      </x:c>
      <x:c r="B105" s="59" t="str">
        <x:v>Profit Contribution 30D</x:v>
      </x:c>
      <x:c r="C105" s="57" t="n">
        <x:v>3</x:v>
      </x:c>
      <x:c r="D105" s="59" t="str">
        <x:v>Borrower Name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4</x:v>
      </x:c>
      <x:c r="D106" s="59" t="str">
        <x:v>Telephone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5</x:v>
      </x:c>
      <x:c r="D107" s="59" t="str">
        <x:v>Description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6</x:v>
      </x:c>
      <x:c r="D108" s="59" t="str">
        <x:v>Creation Date</x:v>
      </x:c>
    </x:row>
    <x:row r="109" ht="15" customHeight="1">
      <x:c r="A109" s="57" t="str">
        <x:v>OLAP</x:v>
      </x:c>
      <x:c r="B109" s="59" t="str">
        <x:v>Profit Contribution 30D</x:v>
      </x:c>
      <x:c r="C109" s="57" t="n">
        <x:v>7</x:v>
      </x:c>
      <x:c r="D109" s="59" t="str">
        <x:v>Related Loans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8</x:v>
      </x:c>
      <x:c r="D110" s="59" t="str">
        <x:v>Total Interest Earned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9</x:v>
      </x:c>
      <x:c r="D111" s="59" t="str">
        <x:v>Total Amount Loaned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10</x:v>
      </x:c>
      <x:c r="D112" s="59" t="str">
        <x:v>Total Number of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11</x:v>
      </x:c>
      <x:c r="D113" s="59" t="str">
        <x:v>Total Outstanding Principal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12</x:v>
      </x:c>
      <x:c r="D114" s="59" t="str">
        <x:v>Header - Active Loans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13</x:v>
      </x:c>
      <x:c r="D115" s="59" t="str">
        <x:v>Borrower Name TE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14</x:v>
      </x:c>
      <x:c r="D116" s="59" t="str">
        <x:v>Return on Active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15</x:v>
      </x:c>
      <x:c r="D117" s="59" t="str">
        <x:v>Profit Last 30 Days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16</x:v>
      </x:c>
      <x:c r="D118" s="59" t="str">
        <x:v>Projected Interest Coverage Date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17</x:v>
      </x:c>
      <x:c r="D119" s="59" t="str">
        <x:v>Active Loan Interest Earned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18</x:v>
      </x:c>
      <x:c r="D120" s="59" t="str">
        <x:v>Active Daily Interest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19</x:v>
      </x:c>
      <x:c r="D121" s="59" t="str">
        <x:v>Related Loan Assessments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20</x:v>
      </x:c>
      <x:c r="D122" s="59" t="str">
        <x:v>Related Calendars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21</x:v>
      </x:c>
      <x:c r="D123" s="59" t="str">
        <x:v>Closed Loan Interest Earned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22</x:v>
      </x:c>
      <x:c r="D124" s="59" t="str">
        <x:v>Closed Loan Principle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23</x:v>
      </x:c>
      <x:c r="D125" s="59" t="str">
        <x:v>Has Closed Loan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24</x:v>
      </x:c>
      <x:c r="D126" s="59" t="str">
        <x:v>Return on Closed Loans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25</x:v>
      </x:c>
      <x:c r="D127" s="59" t="str">
        <x:v>Header - Closed Loans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26</x:v>
      </x:c>
      <x:c r="D128" s="59" t="str">
        <x:v>Has Active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27</x:v>
      </x:c>
      <x:c r="D129" s="59" t="str">
        <x:v>30D Gross Principal Days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28</x:v>
      </x:c>
      <x:c r="D130" s="59" t="str">
        <x:v>30D Principal Reduction Days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29</x:v>
      </x:c>
      <x:c r="D131" s="59" t="str">
        <x:v>30D Average Outstanding Principal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30</x:v>
      </x:c>
      <x:c r="D132" s="59" t="str">
        <x:v>30D Return on Average Principal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31</x:v>
      </x:c>
      <x:c r="D133" s="59" t="str">
        <x:v>Daily Collection Status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32</x:v>
      </x:c>
      <x:c r="D134" s="59" t="str">
        <x:v>Todays Collection Charges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33</x:v>
      </x:c>
      <x:c r="D135" s="59" t="str">
        <x:v>Todays Amount Due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34</x:v>
      </x:c>
      <x:c r="D136" s="59" t="str">
        <x:v>Todays Amount Collected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35</x:v>
      </x:c>
      <x:c r="D137" s="59" t="str">
        <x:v>Todays Amount Remaining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36</x:v>
      </x:c>
      <x:c r="D138" s="59" t="str">
        <x:v>Portfolio Exposure %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37</x:v>
      </x:c>
      <x:c r="D139" s="59" t="str">
        <x:v>Active Loan Count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38</x:v>
      </x:c>
      <x:c r="D140" s="59" t="str">
        <x:v>Oldest Active Loan Age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39</x:v>
      </x:c>
      <x:c r="D141" s="59" t="str">
        <x:v>Overdue Amount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40</x:v>
      </x:c>
      <x:c r="D142" s="59" t="str">
        <x:v>Overdue Charge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41</x:v>
      </x:c>
      <x:c r="D143" s="59" t="str">
        <x:v>Historical Charge Count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42</x:v>
      </x:c>
      <x:c r="D144" s="59" t="str">
        <x:v>On Time Charge Count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43</x:v>
      </x:c>
      <x:c r="D145" s="59" t="str">
        <x:v>Lifetime On Time Rate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44</x:v>
      </x:c>
      <x:c r="D146" s="59" t="str">
        <x:v>Recent 30D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45</x:v>
      </x:c>
      <x:c r="D147" s="59" t="str">
        <x:v>Recent 30D On Time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46</x:v>
      </x:c>
      <x:c r="D148" s="59" t="str">
        <x:v>Recent 30D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47</x:v>
      </x:c>
      <x:c r="D149" s="59" t="str">
        <x:v>Lifetime Late Payment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48</x:v>
      </x:c>
      <x:c r="D150" s="59" t="str">
        <x:v>Recent 30D Late Payment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49</x:v>
      </x:c>
      <x:c r="D151" s="59" t="str">
        <x:v>Maximum Days Late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50</x:v>
      </x:c>
      <x:c r="D152" s="59" t="str">
        <x:v>Last Late Payment Date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51</x:v>
      </x:c>
      <x:c r="D153" s="59" t="str">
        <x:v>Largest Successful Loan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52</x:v>
      </x:c>
      <x:c r="D154" s="59" t="str">
        <x:v>Average Successful Loan Size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53</x:v>
      </x:c>
      <x:c r="D155" s="59" t="str">
        <x:v>Default Count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54</x:v>
      </x:c>
      <x:c r="D156" s="59" t="str">
        <x:v>Lifetime Default Loss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55</x:v>
      </x:c>
      <x:c r="D157" s="59" t="str">
        <x:v>Portfolio Outstanding Principal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56</x:v>
      </x:c>
      <x:c r="D158" s="59" t="str">
        <x:v>Portfolio Share Join Key</x:v>
      </x:c>
    </x:row>
    <x:row r="159" ht="15" customHeight="1">
      <x:c r="A159" s="57" t="str">
        <x:v>OLAP</x:v>
      </x:c>
      <x:c r="B159" s="59" t="str">
        <x:v>Reporting Borrowers</x:v>
      </x:c>
      <x:c r="C159" s="57" t="n">
        <x:v>1</x:v>
      </x:c>
      <x:c r="D159" s="59" t="str">
        <x:v>_RowNumber</x:v>
      </x:c>
    </x:row>
    <x:row r="160" ht="15" customHeight="1">
      <x:c r="A160" s="57" t="str">
        <x:v>OLAP</x:v>
      </x:c>
      <x:c r="B160" s="59" t="str">
        <x:v>Reporting Borrowers</x:v>
      </x:c>
      <x:c r="C160" s="57" t="n">
        <x:v>2</x:v>
      </x:c>
      <x:c r="D160" s="59" t="str">
        <x:v>Row ID</x:v>
      </x:c>
    </x:row>
    <x:row r="161" ht="15" customHeight="1">
      <x:c r="A161" s="57" t="str">
        <x:v>OLAP</x:v>
      </x:c>
      <x:c r="B161" s="59" t="str">
        <x:v>Reporting Borrowers</x:v>
      </x:c>
      <x:c r="C161" s="57" t="n">
        <x:v>3</x:v>
      </x:c>
      <x:c r="D161" s="59" t="str">
        <x:v>Borrower Name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4</x:v>
      </x:c>
      <x:c r="D162" s="59" t="str">
        <x:v>Borrower Name TE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5</x:v>
      </x:c>
      <x:c r="D163" s="59" t="str">
        <x:v>Description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6</x:v>
      </x:c>
      <x:c r="D164" s="59" t="str">
        <x:v>Total Interest Earned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7</x:v>
      </x:c>
      <x:c r="D165" s="59" t="str">
        <x:v>Total Amount Loaned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8</x:v>
      </x:c>
      <x:c r="D166" s="59" t="str">
        <x:v>Total Number of Loans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9</x:v>
      </x:c>
      <x:c r="D167" s="59" t="str">
        <x:v>Total Outstanding Principal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10</x:v>
      </x:c>
      <x:c r="D168" s="59" t="str">
        <x:v>Daily Collection Status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11</x:v>
      </x:c>
      <x:c r="D169" s="59" t="str">
        <x:v>Todays Amount Due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12</x:v>
      </x:c>
      <x:c r="D170" s="59" t="str">
        <x:v>Todays Amount Collected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13</x:v>
      </x:c>
      <x:c r="D171" s="59" t="str">
        <x:v>Todays Amount Remaining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14</x:v>
      </x:c>
      <x:c r="D172" s="59" t="str">
        <x:v>30D Return on Average Principal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15</x:v>
      </x:c>
      <x:c r="D173" s="59" t="str">
        <x:v>Return on Active Principal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16</x:v>
      </x:c>
      <x:c r="D174" s="59" t="str">
        <x:v>30D Average Outstanding Principal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17</x:v>
      </x:c>
      <x:c r="D175" s="59" t="str">
        <x:v>Profit Last 30 Days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18</x:v>
      </x:c>
      <x:c r="D176" s="59" t="str">
        <x:v>Has Active Loan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19</x:v>
      </x:c>
      <x:c r="D177" s="59" t="str">
        <x:v>Has Closed Loan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20</x:v>
      </x:c>
      <x:c r="D178" s="59" t="str">
        <x:v>Overdue Amount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21</x:v>
      </x:c>
      <x:c r="D179" s="59" t="str">
        <x:v>Overdue Charge Count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22</x:v>
      </x:c>
      <x:c r="D180" s="59" t="str">
        <x:v>Oldest Active Loan Age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23</x:v>
      </x:c>
      <x:c r="D181" s="59" t="str">
        <x:v>Active Loan Count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24</x:v>
      </x:c>
      <x:c r="D182" s="59" t="str">
        <x:v>Portfolio Exposure %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25</x:v>
      </x:c>
      <x:c r="D183" s="59" t="str">
        <x:v>Historical Charge Count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26</x:v>
      </x:c>
      <x:c r="D184" s="59" t="str">
        <x:v>On Time Charge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27</x:v>
      </x:c>
      <x:c r="D185" s="59" t="str">
        <x:v>Lifetime On Time Rate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28</x:v>
      </x:c>
      <x:c r="D186" s="59" t="str">
        <x:v>Recent 30D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29</x:v>
      </x:c>
      <x:c r="D187" s="59" t="str">
        <x:v>Recent 30D On Time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30</x:v>
      </x:c>
      <x:c r="D188" s="59" t="str">
        <x:v>Recent 30D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31</x:v>
      </x:c>
      <x:c r="D189" s="59" t="str">
        <x:v>Lifetime Late Payment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32</x:v>
      </x:c>
      <x:c r="D190" s="59" t="str">
        <x:v>Recent 30D Late Payment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33</x:v>
      </x:c>
      <x:c r="D191" s="59" t="str">
        <x:v>Maximum Days Late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34</x:v>
      </x:c>
      <x:c r="D192" s="59" t="str">
        <x:v>Last Late Payment Date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35</x:v>
      </x:c>
      <x:c r="D193" s="59" t="str">
        <x:v>Largest Successful Loan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36</x:v>
      </x:c>
      <x:c r="D194" s="59" t="str">
        <x:v>Average Successful Loan Size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37</x:v>
      </x:c>
      <x:c r="D195" s="59" t="str">
        <x:v>Default Count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38</x:v>
      </x:c>
      <x:c r="D196" s="59" t="str">
        <x:v>Lifetime Default Loss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39</x:v>
      </x:c>
      <x:c r="D197" s="59" t="str">
        <x:v>Portfolio Outstanding Principal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40</x:v>
      </x:c>
      <x:c r="D198" s="59" t="str">
        <x:v>Portfolio Share Join Key</x:v>
      </x:c>
    </x:row>
    <x:row r="199" ht="15" customHeight="1">
      <x:c r="A199" s="57" t="str">
        <x:v>OLAP</x:v>
      </x:c>
      <x:c r="B199" s="59" t="str">
        <x:v>Reporting Charges</x:v>
      </x:c>
      <x:c r="C199" s="57" t="n">
        <x:v>1</x:v>
      </x:c>
      <x:c r="D199" s="59" t="str">
        <x:v>_RowNumber</x:v>
      </x:c>
    </x:row>
    <x:row r="200" ht="15" customHeight="1">
      <x:c r="A200" s="57" t="str">
        <x:v>OLAP</x:v>
      </x:c>
      <x:c r="B200" s="59" t="str">
        <x:v>Reporting Charges</x:v>
      </x:c>
      <x:c r="C200" s="57" t="n">
        <x:v>2</x:v>
      </x:c>
      <x:c r="D200" s="59" t="str">
        <x:v>Row ID</x:v>
      </x:c>
    </x:row>
    <x:row r="201" ht="15" customHeight="1">
      <x:c r="A201" s="57" t="str">
        <x:v>OLAP</x:v>
      </x:c>
      <x:c r="B201" s="59" t="str">
        <x:v>Reporting Charges</x:v>
      </x:c>
      <x:c r="C201" s="57" t="n">
        <x:v>3</x:v>
      </x:c>
      <x:c r="D201" s="59" t="str">
        <x:v>Ref Loans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4</x:v>
      </x:c>
      <x:c r="D202" s="59" t="str">
        <x:v>Charge Date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5</x:v>
      </x:c>
      <x:c r="D203" s="59" t="str">
        <x:v>Interest Due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6</x:v>
      </x:c>
      <x:c r="D204" s="59" t="str">
        <x:v>Principal Due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7</x:v>
      </x:c>
      <x:c r="D205" s="59" t="str">
        <x:v>Amount Due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8</x:v>
      </x:c>
      <x:c r="D206" s="59" t="str">
        <x:v>Payment Date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9</x:v>
      </x:c>
      <x:c r="D207" s="59" t="str">
        <x:v>Payment Status TE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10</x:v>
      </x:c>
      <x:c r="D208" s="59" t="str">
        <x:v>Principal Paid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11</x:v>
      </x:c>
      <x:c r="D209" s="59" t="str">
        <x:v>Interest Paid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12</x:v>
      </x:c>
      <x:c r="D210" s="59" t="str">
        <x:v>Total Paid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13</x:v>
      </x:c>
      <x:c r="D211" s="59" t="str">
        <x:v>Principal Remaining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14</x:v>
      </x:c>
      <x:c r="D212" s="59" t="str">
        <x:v>Interest Remaining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15</x:v>
      </x:c>
      <x:c r="D213" s="59" t="str">
        <x:v>Amount Remaining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16</x:v>
      </x:c>
      <x:c r="D214" s="59" t="str">
        <x:v>Payment Status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17</x:v>
      </x:c>
      <x:c r="D215" s="59" t="str">
        <x:v>Days Late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18</x:v>
      </x:c>
      <x:c r="D216" s="59" t="str">
        <x:v>Historical On Time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19</x:v>
      </x:c>
      <x:c r="D217" s="59" t="str">
        <x:v>Historical Late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20</x:v>
      </x:c>
      <x:c r="D218" s="59" t="str">
        <x:v>Borrower Name</x:v>
      </x:c>
    </x:row>
    <x:row r="219" ht="15" customHeight="1">
      <x:c r="A219" s="57" t="str">
        <x:v>OLAP</x:v>
      </x:c>
      <x:c r="B219" s="59" t="str">
        <x:v>Daily Analytics 7 Days</x:v>
      </x:c>
      <x:c r="C219" s="57" t="n">
        <x:v>1</x:v>
      </x:c>
      <x:c r="D219" s="59" t="str">
        <x:v>_RowNumber</x:v>
      </x:c>
    </x:row>
    <x:row r="220" ht="15" customHeight="1">
      <x:c r="A220" s="57" t="str">
        <x:v>OLAP</x:v>
      </x:c>
      <x:c r="B220" s="59" t="str">
        <x:v>Daily Analytics 7 Days</x:v>
      </x:c>
      <x:c r="C220" s="57" t="n">
        <x:v>2</x:v>
      </x:c>
      <x:c r="D220" s="59" t="str">
        <x:v>Row ID</x:v>
      </x:c>
    </x:row>
    <x:row r="221" ht="15" customHeight="1">
      <x:c r="A221" s="57" t="str">
        <x:v>OLAP</x:v>
      </x:c>
      <x:c r="B221" s="59" t="str">
        <x:v>Daily Analytics 7 Days</x:v>
      </x:c>
      <x:c r="C221" s="57" t="n">
        <x:v>3</x:v>
      </x:c>
      <x:c r="D221" s="59" t="str">
        <x:v>Snapshot Date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4</x:v>
      </x:c>
      <x:c r="D222" s="59" t="str">
        <x:v>Generated At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5</x:v>
      </x:c>
      <x:c r="D223" s="59" t="str">
        <x:v>Model Version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6</x:v>
      </x:c>
      <x:c r="D224" s="59" t="str">
        <x:v>Principal Issued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7</x:v>
      </x:c>
      <x:c r="D225" s="59" t="str">
        <x:v>Loans Issued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8</x:v>
      </x:c>
      <x:c r="D226" s="59" t="str">
        <x:v>Principal Returned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9</x:v>
      </x:c>
      <x:c r="D227" s="59" t="str">
        <x:v>Interest Received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10</x:v>
      </x:c>
      <x:c r="D228" s="59" t="str">
        <x:v>Repayments Count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11</x:v>
      </x:c>
      <x:c r="D229" s="59" t="str">
        <x:v>Outstanding Principal EOD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12</x:v>
      </x:c>
      <x:c r="D230" s="59" t="str">
        <x:v>Active Loans EOD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13</x:v>
      </x:c>
      <x:c r="D231" s="59" t="str">
        <x:v>Active Borrowers EOD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14</x:v>
      </x:c>
      <x:c r="D232" s="59" t="str">
        <x:v>Pending Charges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15</x:v>
      </x:c>
      <x:c r="D233" s="59" t="str">
        <x:v>Total Cash Pool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16</x:v>
      </x:c>
      <x:c r="D234" s="59" t="str">
        <x:v>Available Cash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17</x:v>
      </x:c>
      <x:c r="D235" s="59" t="str">
        <x:v>Unsettled Profit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18</x:v>
      </x:c>
      <x:c r="D236" s="59" t="str">
        <x:v>Week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19</x:v>
      </x:c>
      <x:c r="D237" s="59" t="str">
        <x:v>Month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20</x:v>
      </x:c>
      <x:c r="D238" s="59" t="str">
        <x:v>Daily Capital Employed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21</x:v>
      </x:c>
      <x:c r="D239" s="59" t="str">
        <x:v>Daily Capital Yield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22</x:v>
      </x:c>
      <x:c r="D240" s="59" t="str">
        <x:v>Portfolio Share Join Key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23</x:v>
      </x:c>
      <x:c r="D241" s="59" t="str">
        <x:v>Portfolio Slice</x:v>
      </x:c>
    </x:row>
    <x:row r="242" ht="15" customHeight="1">
      <x:c r="A242" s="57" t="str">
        <x:v>OLAP</x:v>
      </x:c>
      <x:c r="B242" s="59" t="str">
        <x:v>Daily Analytics 30 Days</x:v>
      </x:c>
      <x:c r="C242" s="57" t="n">
        <x:v>1</x:v>
      </x:c>
      <x:c r="D242" s="59" t="str">
        <x:v>_RowNumber</x:v>
      </x:c>
    </x:row>
    <x:row r="243" ht="15" customHeight="1">
      <x:c r="A243" s="57" t="str">
        <x:v>OLAP</x:v>
      </x:c>
      <x:c r="B243" s="59" t="str">
        <x:v>Daily Analytics 30 Days</x:v>
      </x:c>
      <x:c r="C243" s="57" t="n">
        <x:v>2</x:v>
      </x:c>
      <x:c r="D243" s="59" t="str">
        <x:v>Row ID</x:v>
      </x:c>
    </x:row>
    <x:row r="244" ht="15" customHeight="1">
      <x:c r="A244" s="57" t="str">
        <x:v>OLAP</x:v>
      </x:c>
      <x:c r="B244" s="59" t="str">
        <x:v>Daily Analytics 30 Days</x:v>
      </x:c>
      <x:c r="C244" s="57" t="n">
        <x:v>3</x:v>
      </x:c>
      <x:c r="D244" s="59" t="str">
        <x:v>Snapshot Date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4</x:v>
      </x:c>
      <x:c r="D245" s="59" t="str">
        <x:v>Generated At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5</x:v>
      </x:c>
      <x:c r="D246" s="59" t="str">
        <x:v>Model Version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6</x:v>
      </x:c>
      <x:c r="D247" s="59" t="str">
        <x:v>Principal Issued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7</x:v>
      </x:c>
      <x:c r="D248" s="59" t="str">
        <x:v>Loans Issued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8</x:v>
      </x:c>
      <x:c r="D249" s="59" t="str">
        <x:v>Principal Returned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9</x:v>
      </x:c>
      <x:c r="D250" s="59" t="str">
        <x:v>Interest Received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10</x:v>
      </x:c>
      <x:c r="D251" s="59" t="str">
        <x:v>Repayments Count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11</x:v>
      </x:c>
      <x:c r="D252" s="59" t="str">
        <x:v>Outstanding Principal EOD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12</x:v>
      </x:c>
      <x:c r="D253" s="59" t="str">
        <x:v>Active Loans EOD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13</x:v>
      </x:c>
      <x:c r="D254" s="59" t="str">
        <x:v>Active Borrowers EOD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14</x:v>
      </x:c>
      <x:c r="D255" s="59" t="str">
        <x:v>Pending Charges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15</x:v>
      </x:c>
      <x:c r="D256" s="59" t="str">
        <x:v>Total Cash Pool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16</x:v>
      </x:c>
      <x:c r="D257" s="59" t="str">
        <x:v>Available Cash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17</x:v>
      </x:c>
      <x:c r="D258" s="59" t="str">
        <x:v>Unsettled Profit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18</x:v>
      </x:c>
      <x:c r="D259" s="59" t="str">
        <x:v>Week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19</x:v>
      </x:c>
      <x:c r="D260" s="59" t="str">
        <x:v>Month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20</x:v>
      </x:c>
      <x:c r="D261" s="59" t="str">
        <x:v>Daily Capital Employed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21</x:v>
      </x:c>
      <x:c r="D262" s="59" t="str">
        <x:v>Daily Capital Yield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22</x:v>
      </x:c>
      <x:c r="D263" s="59" t="str">
        <x:v>Portfolio Share Join Key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23</x:v>
      </x:c>
      <x:c r="D264" s="59" t="str">
        <x:v>Portfolio Slice</x:v>
      </x:c>
    </x:row>
    <x:row r="265" ht="15" customHeight="1">
      <x:c r="A265" s="57" t="str">
        <x:v>OLAP</x:v>
      </x:c>
      <x:c r="B265" s="59" t="str">
        <x:v>Daily Analytics 90 Days</x:v>
      </x:c>
      <x:c r="C265" s="57" t="n">
        <x:v>1</x:v>
      </x:c>
      <x:c r="D265" s="59" t="str">
        <x:v>_RowNumber</x:v>
      </x:c>
    </x:row>
    <x:row r="266" ht="15" customHeight="1">
      <x:c r="A266" s="57" t="str">
        <x:v>OLAP</x:v>
      </x:c>
      <x:c r="B266" s="59" t="str">
        <x:v>Daily Analytics 90 Days</x:v>
      </x:c>
      <x:c r="C266" s="57" t="n">
        <x:v>2</x:v>
      </x:c>
      <x:c r="D266" s="59" t="str">
        <x:v>Row ID</x:v>
      </x:c>
    </x:row>
    <x:row r="267" ht="15" customHeight="1">
      <x:c r="A267" s="57" t="str">
        <x:v>OLAP</x:v>
      </x:c>
      <x:c r="B267" s="59" t="str">
        <x:v>Daily Analytics 90 Days</x:v>
      </x:c>
      <x:c r="C267" s="57" t="n">
        <x:v>3</x:v>
      </x:c>
      <x:c r="D267" s="59" t="str">
        <x:v>Snapshot Date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4</x:v>
      </x:c>
      <x:c r="D268" s="59" t="str">
        <x:v>Generated At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5</x:v>
      </x:c>
      <x:c r="D269" s="59" t="str">
        <x:v>Model Version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6</x:v>
      </x:c>
      <x:c r="D270" s="59" t="str">
        <x:v>Principal Issued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7</x:v>
      </x:c>
      <x:c r="D271" s="59" t="str">
        <x:v>Loans Issued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8</x:v>
      </x:c>
      <x:c r="D272" s="59" t="str">
        <x:v>Principal Returned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9</x:v>
      </x:c>
      <x:c r="D273" s="59" t="str">
        <x:v>Interest Received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10</x:v>
      </x:c>
      <x:c r="D274" s="59" t="str">
        <x:v>Repayments Count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11</x:v>
      </x:c>
      <x:c r="D275" s="59" t="str">
        <x:v>Outstanding Principal EOD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12</x:v>
      </x:c>
      <x:c r="D276" s="59" t="str">
        <x:v>Active Loans EOD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13</x:v>
      </x:c>
      <x:c r="D277" s="59" t="str">
        <x:v>Active Borrowers EOD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14</x:v>
      </x:c>
      <x:c r="D278" s="59" t="str">
        <x:v>Pending Charges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15</x:v>
      </x:c>
      <x:c r="D279" s="59" t="str">
        <x:v>Total Cash Pool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16</x:v>
      </x:c>
      <x:c r="D280" s="59" t="str">
        <x:v>Available Cash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17</x:v>
      </x:c>
      <x:c r="D281" s="59" t="str">
        <x:v>Unsettled Profit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18</x:v>
      </x:c>
      <x:c r="D282" s="59" t="str">
        <x:v>Week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19</x:v>
      </x:c>
      <x:c r="D283" s="59" t="str">
        <x:v>Month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20</x:v>
      </x:c>
      <x:c r="D284" s="59" t="str">
        <x:v>Daily Capital Employed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21</x:v>
      </x:c>
      <x:c r="D285" s="59" t="str">
        <x:v>Daily Capital Yield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22</x:v>
      </x:c>
      <x:c r="D286" s="59" t="str">
        <x:v>Portfolio Share Join Key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23</x:v>
      </x:c>
      <x:c r="D287" s="59" t="str">
        <x:v>Portfolio Slice</x:v>
      </x:c>
    </x:row>
    <x:row r="288" ht="15" customHeight="1">
      <x:c r="A288" s="57" t="str">
        <x:v>OLAP</x:v>
      </x:c>
      <x:c r="B288" s="59" t="str">
        <x:v>Reporting Daily Analytics</x:v>
      </x:c>
      <x:c r="C288" s="57" t="n">
        <x:v>1</x:v>
      </x:c>
      <x:c r="D288" s="59" t="str">
        <x:v>_RowNumber</x:v>
      </x:c>
    </x:row>
    <x:row r="289" ht="15" customHeight="1">
      <x:c r="A289" s="57" t="str">
        <x:v>OLAP</x:v>
      </x:c>
      <x:c r="B289" s="59" t="str">
        <x:v>Reporting Daily Analytics</x:v>
      </x:c>
      <x:c r="C289" s="57" t="n">
        <x:v>2</x:v>
      </x:c>
      <x:c r="D289" s="59" t="str">
        <x:v>Row ID</x:v>
      </x:c>
    </x:row>
    <x:row r="290" ht="15" customHeight="1">
      <x:c r="A290" s="57" t="str">
        <x:v>OLAP</x:v>
      </x:c>
      <x:c r="B290" s="59" t="str">
        <x:v>Reporting Daily Analytics</x:v>
      </x:c>
      <x:c r="C290" s="57" t="n">
        <x:v>3</x:v>
      </x:c>
      <x:c r="D290" s="59" t="str">
        <x:v>Snapshot Date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4</x:v>
      </x:c>
      <x:c r="D291" s="59" t="str">
        <x:v>Principal Issued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5</x:v>
      </x:c>
      <x:c r="D292" s="59" t="str">
        <x:v>Principal Returned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6</x:v>
      </x:c>
      <x:c r="D293" s="59" t="str">
        <x:v>Interest Received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7</x:v>
      </x:c>
      <x:c r="D294" s="59" t="str">
        <x:v>Outstanding Principal EOD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8</x:v>
      </x:c>
      <x:c r="D295" s="59" t="str">
        <x:v>Active Loans EOD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9</x:v>
      </x:c>
      <x:c r="D296" s="59" t="str">
        <x:v>Active Borrowers EOD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10</x:v>
      </x:c>
      <x:c r="D297" s="59" t="str">
        <x:v>Pending Charges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11</x:v>
      </x:c>
      <x:c r="D298" s="59" t="str">
        <x:v>Daily Capital Yield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12</x:v>
      </x:c>
      <x:c r="D299" s="59" t="str">
        <x:v>Portfolio Share Join Key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13</x:v>
      </x:c>
      <x:c r="D300" s="59" t="str">
        <x:v>Portfolio Slice</x:v>
      </x:c>
    </x:row>
    <x:row r="301" ht="15" customHeight="1">
      <x:c r="A301" s="57" t="str">
        <x:v>OLAP</x:v>
      </x:c>
      <x:c r="B301" s="59" t="str">
        <x:v>Reporting Loans</x:v>
      </x:c>
      <x:c r="C301" s="57" t="n">
        <x:v>1</x:v>
      </x:c>
      <x:c r="D301" s="59" t="str">
        <x:v>_RowNumber</x:v>
      </x:c>
    </x:row>
    <x:row r="302" ht="15" customHeight="1">
      <x:c r="A302" s="57" t="str">
        <x:v>OLAP</x:v>
      </x:c>
      <x:c r="B302" s="59" t="str">
        <x:v>Reporting Loans</x:v>
      </x:c>
      <x:c r="C302" s="57" t="n">
        <x:v>2</x:v>
      </x:c>
      <x:c r="D302" s="59" t="str">
        <x:v>Row ID</x:v>
      </x:c>
    </x:row>
    <x:row r="303" ht="15" customHeight="1">
      <x:c r="A303" s="57" t="str">
        <x:v>OLAP</x:v>
      </x:c>
      <x:c r="B303" s="59" t="str">
        <x:v>Reporting Loans</x:v>
      </x:c>
      <x:c r="C303" s="57" t="n">
        <x:v>3</x:v>
      </x:c>
      <x:c r="D303" s="59" t="str">
        <x:v>Loan Date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4</x:v>
      </x:c>
      <x:c r="D304" s="59" t="str">
        <x:v>Close Date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5</x:v>
      </x:c>
      <x:c r="D305" s="59" t="str">
        <x:v>Principal Amount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6</x:v>
      </x:c>
      <x:c r="D306" s="59" t="str">
        <x:v>Due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7</x:v>
      </x:c>
      <x:c r="D307" s="59" t="str">
        <x:v>Ref Borrowers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8</x:v>
      </x:c>
      <x:c r="D308" s="59" t="str">
        <x:v>Total Interest Received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9</x:v>
      </x:c>
      <x:c r="D309" s="59" t="str">
        <x:v>Total Principal Received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10</x:v>
      </x:c>
      <x:c r="D310" s="59" t="str">
        <x:v>Outstanding Principal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11</x:v>
      </x:c>
      <x:c r="D311" s="59" t="str">
        <x:v>Total Amount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12</x:v>
      </x:c>
      <x:c r="D312" s="59" t="str">
        <x:v>Loan Status TE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13</x:v>
      </x:c>
      <x:c r="D313" s="59" t="str">
        <x:v>Loan Age Bucket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14</x:v>
      </x:c>
      <x:c r="D314" s="59" t="str">
        <x:v>Loan Type TE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15</x:v>
      </x:c>
      <x:c r="D315" s="59" t="str">
        <x:v>Loan Status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16</x:v>
      </x:c>
      <x:c r="D316" s="59" t="str">
        <x:v>Loan Type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17</x:v>
      </x:c>
      <x:c r="D317" s="59" t="str">
        <x:v>Current Daily Interest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18</x:v>
      </x:c>
      <x:c r="D318" s="59" t="str">
        <x:v>Fixed Interest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19</x:v>
      </x:c>
      <x:c r="D319" s="59" t="str">
        <x:v>Transfer Fee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20</x:v>
      </x:c>
      <x:c r="D320" s="59" t="str">
        <x:v>Interest Payment Interval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21</x:v>
      </x:c>
      <x:c r="D321" s="59" t="str">
        <x:v>Principal Recovered by Interest %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22</x:v>
      </x:c>
      <x:c r="D322" s="59" t="str">
        <x:v>Expected Interest This Month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23</x:v>
      </x:c>
      <x:c r="D323" s="59" t="str">
        <x:v>Effective Daily Interest Rate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24</x:v>
      </x:c>
      <x:c r="D324" s="59" t="str">
        <x:v>Default Loss Amount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25</x:v>
      </x:c>
      <x:c r="D325" s="59" t="str">
        <x:v>Defaulted Flag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26</x:v>
      </x:c>
      <x:c r="D326" s="59" t="str">
        <x:v>Borrower Name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27</x:v>
      </x:c>
      <x:c r="D327" s="59" t="str">
        <x:v>Borrower Name TE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28</x:v>
      </x:c>
      <x:c r="D328" s="59" t="str">
        <x:v>Loan Duration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29</x:v>
      </x:c>
      <x:c r="D329" s="59" t="str">
        <x:v>Defaulted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30</x:v>
      </x:c>
      <x:c r="D330" s="59" t="str">
        <x:v>Maximum Days Late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31</x:v>
      </x:c>
      <x:c r="D331" s="59" t="str">
        <x:v>Daily Payment Amount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32</x:v>
      </x:c>
      <x:c r="D332" s="59" t="str">
        <x:v>Expected Daily Interest Amount</x:v>
      </x:c>
    </x:row>
    <x:row r="333" ht="15" customHeight="1">
      <x:c r="A333" s="57" t="str">
        <x:v>OLAP</x:v>
      </x:c>
      <x:c r="B333" s="59" t="str">
        <x:v>Reporting Repayments</x:v>
      </x:c>
      <x:c r="C333" s="57" t="n">
        <x:v>1</x:v>
      </x:c>
      <x:c r="D333" s="59" t="str">
        <x:v>_RowNumber</x:v>
      </x:c>
    </x:row>
    <x:row r="334" ht="15" customHeight="1">
      <x:c r="A334" s="57" t="str">
        <x:v>OLAP</x:v>
      </x:c>
      <x:c r="B334" s="59" t="str">
        <x:v>Reporting Repayments</x:v>
      </x:c>
      <x:c r="C334" s="57" t="n">
        <x:v>2</x:v>
      </x:c>
      <x:c r="D334" s="59" t="str">
        <x:v>Row ID</x:v>
      </x:c>
    </x:row>
    <x:row r="335" ht="15" customHeight="1">
      <x:c r="A335" s="57" t="str">
        <x:v>OLAP</x:v>
      </x:c>
      <x:c r="B335" s="59" t="str">
        <x:v>Reporting Repayments</x:v>
      </x:c>
      <x:c r="C335" s="57" t="n">
        <x:v>3</x:v>
      </x:c>
      <x:c r="D335" s="59" t="str">
        <x:v>Payment Date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4</x:v>
      </x:c>
      <x:c r="D336" s="59" t="str">
        <x:v>Amount Received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5</x:v>
      </x:c>
      <x:c r="D337" s="59" t="str">
        <x:v>Principal Paid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6</x:v>
      </x:c>
      <x:c r="D338" s="59" t="str">
        <x:v>Interest Paid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7</x:v>
      </x:c>
      <x:c r="D339" s="59" t="str">
        <x:v>Ref Loans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8</x:v>
      </x:c>
      <x:c r="D340" s="59" t="str">
        <x:v>Ref Charges</x:v>
      </x:c>
    </x:row>
    <x:row r="341" ht="15" customHeight="1">
      <x:c r="A341" s="57" t="str">
        <x:v>OLAP</x:v>
      </x:c>
      <x:c r="B341" s="59" t="str">
        <x:v>Reporting Statistics</x:v>
      </x:c>
      <x:c r="C341" s="57" t="n">
        <x:v>1</x:v>
      </x:c>
      <x:c r="D341" s="59" t="str">
        <x:v>_RowNumber</x:v>
      </x:c>
    </x:row>
    <x:row r="342" ht="15" customHeight="1">
      <x:c r="A342" s="57" t="str">
        <x:v>OLAP</x:v>
      </x:c>
      <x:c r="B342" s="59" t="str">
        <x:v>Reporting Statistics</x:v>
      </x:c>
      <x:c r="C342" s="57" t="n">
        <x:v>2</x:v>
      </x:c>
      <x:c r="D342" s="59" t="str">
        <x:v>Row ID</x:v>
      </x:c>
    </x:row>
    <x:row r="343" ht="15" customHeight="1">
      <x:c r="A343" s="57" t="str">
        <x:v>OLAP</x:v>
      </x:c>
      <x:c r="B343" s="59" t="str">
        <x:v>Reporting Statistics</x:v>
      </x:c>
      <x:c r="C343" s="57" t="n">
        <x:v>3</x:v>
      </x:c>
      <x:c r="D343" s="59" t="str">
        <x:v>Outstanding Principal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4</x:v>
      </x:c>
      <x:c r="D344" s="59" t="str">
        <x:v>Active Loans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5</x:v>
      </x:c>
      <x:c r="D345" s="59" t="str">
        <x:v>Realized Profit MTD</x:v>
      </x:c>
    </x:row>
    <x:row r="346">
      <x:c r="A346" s="57" t="str">
        <x:v>OLAP</x:v>
      </x:c>
      <x:c r="B346" s="59" t="str">
        <x:v>Reporting Statistics</x:v>
      </x:c>
      <x:c r="C346" s="57" t="n">
        <x:v>6</x:v>
      </x:c>
      <x:c r="D346" s="59" t="str">
        <x:v>Projected Monthly Profit</x:v>
      </x:c>
    </x:row>
    <x:row r="347">
      <x:c r="A347" s="57" t="str">
        <x:v>OLAP</x:v>
      </x:c>
      <x:c r="B347" s="59" t="str">
        <x:v>Reporting Statistics</x:v>
      </x:c>
      <x:c r="C347" s="57" t="n">
        <x:v>7</x:v>
      </x:c>
      <x:c r="D347" s="59" t="str">
        <x:v>Peak Cash Pool Date 30D</x:v>
      </x:c>
    </x:row>
    <x:row r="348">
      <x:c r="A348" s="57" t="str">
        <x:v>OLAP</x:v>
      </x:c>
      <x:c r="B348" s="59" t="str">
        <x:v>Reporting Statistics</x:v>
      </x:c>
      <x:c r="C348" s="57" t="n">
        <x:v>8</x:v>
      </x:c>
      <x:c r="D348" s="59" t="str">
        <x:v>Expected Daily Interest</x:v>
      </x:c>
    </x:row>
    <x:row r="349">
      <x:c r="A349" s="57" t="str">
        <x:v>OLAP</x:v>
      </x:c>
      <x:c r="B349" s="59" t="str">
        <x:v>Reporting Statistics</x:v>
      </x:c>
      <x:c r="C349" s="57" t="n">
        <x:v>9</x:v>
      </x:c>
      <x:c r="D349" s="59" t="str">
        <x:v>Total Cash Pool</x:v>
      </x:c>
    </x:row>
    <x:row r="350">
      <x:c r="A350" s="57" t="str">
        <x:v>OLAP</x:v>
      </x:c>
      <x:c r="B350" s="59" t="str">
        <x:v>Reporting Statistics</x:v>
      </x:c>
      <x:c r="C350" s="57" t="n">
        <x:v>10</x:v>
      </x:c>
      <x:c r="D350" s="59" t="str">
        <x:v>Total Unsettled Profit</x:v>
      </x:c>
    </x:row>
    <x:row r="351">
      <x:c r="A351" s="57" t="str">
        <x:v>OLAP</x:v>
      </x:c>
      <x:c r="B351" s="59" t="str">
        <x:v>Reporting Statistics</x:v>
      </x:c>
      <x:c r="C351" s="57" t="n">
        <x:v>11</x:v>
      </x:c>
      <x:c r="D351" s="59" t="str">
        <x:v>Expected Loan Account Balance</x:v>
      </x:c>
    </x:row>
    <x:row r="352">
      <x:c r="A352" s="57" t="str">
        <x:v>OLAP</x:v>
      </x:c>
      <x:c r="B352" s="59" t="str">
        <x:v>Reporting Statistics</x:v>
      </x:c>
      <x:c r="C352" s="57" t="n">
        <x:v>12</x:v>
      </x:c>
      <x:c r="D352" s="59" t="str">
        <x:v>Top 3 Borrower Concentration</x:v>
      </x:c>
    </x:row>
    <x:row r="353">
      <x:c r="A353" s="57" t="str">
        <x:v>OLAP</x:v>
      </x:c>
      <x:c r="B353" s="59" t="str">
        <x:v>Reporting Statistics</x:v>
      </x:c>
      <x:c r="C353" s="57" t="n">
        <x:v>13</x:v>
      </x:c>
      <x:c r="D353" s="59" t="str">
        <x:v>Amount Due Today</x:v>
      </x:c>
    </x:row>
    <x:row r="354">
      <x:c r="A354" s="57" t="str">
        <x:v>OLAP</x:v>
      </x:c>
      <x:c r="B354" s="59" t="str">
        <x:v>Reporting Statistics</x:v>
      </x:c>
      <x:c r="C354" s="57" t="n">
        <x:v>14</x:v>
      </x:c>
      <x:c r="D354" s="59" t="str">
        <x:v>Amount Collected Today</x:v>
      </x:c>
    </x:row>
    <x:row r="355">
      <x:c r="A355" s="57" t="str">
        <x:v>OLAP</x:v>
      </x:c>
      <x:c r="B355" s="59" t="str">
        <x:v>Reporting Statistics</x:v>
      </x:c>
      <x:c r="C355" s="57" t="n">
        <x:v>15</x:v>
      </x:c>
      <x:c r="D355" s="59" t="str">
        <x:v>Amount Outstanding Today</x:v>
      </x:c>
    </x:row>
    <x:row r="356">
      <x:c r="A356" s="57" t="str">
        <x:v>OLAP</x:v>
      </x:c>
      <x:c r="B356" s="59" t="str">
        <x:v>Reporting Statistics</x:v>
      </x:c>
      <x:c r="C356" s="57" t="n">
        <x:v>16</x:v>
      </x:c>
      <x:c r="D356" s="59" t="str">
        <x:v>Amount Collection Rate Today</x:v>
      </x:c>
    </x:row>
    <x:row r="357">
      <x:c r="A357" t="str">
        <x:v>OLAP</x:v>
      </x:c>
      <x:c r="B357" t="str">
        <x:v>Reporting Statistics</x:v>
      </x:c>
      <x:c r="C357" t="n">
        <x:v>17</x:v>
      </x:c>
      <x:c r="D357" t="str">
        <x:v>Total Outstanding Principal</x:v>
      </x:c>
    </x:row>
    <x:row r="358">
      <x:c r="A358" t="str">
        <x:v>OLAP</x:v>
      </x:c>
      <x:c r="B358" t="str">
        <x:v>Reporting Borrowers</x:v>
      </x:c>
      <x:c r="C358" t="n">
        <x:v>41</x:v>
      </x:c>
      <x:c r="D358" t="str">
        <x:v>Matrix Active Borrower Count</x:v>
      </x:c>
    </x:row>
    <x:row r="359">
      <x:c r="A359" t="str">
        <x:v>OLAP</x:v>
      </x:c>
      <x:c r="B359" t="str">
        <x:v>Reporting Borrowers</x:v>
      </x:c>
      <x:c r="C359" t="n">
        <x:v>42</x:v>
      </x:c>
      <x:c r="D359" t="str">
        <x:v>Matrix Equal Share Benchmark</x:v>
      </x:c>
    </x:row>
    <x:row r="360">
      <x:c r="A360" t="str">
        <x:v>OLAP</x:v>
      </x:c>
      <x:c r="B360" t="str">
        <x:v>Reporting Borrowers</x:v>
      </x:c>
      <x:c r="C360" t="n">
        <x:v>43</x:v>
      </x:c>
      <x:c r="D360" t="str">
        <x:v>Matrix Economic Contribution</x:v>
      </x:c>
    </x:row>
    <x:row r="361">
      <x:c r="A361" t="str">
        <x:v>OLAP</x:v>
      </x:c>
      <x:c r="B361" t="str">
        <x:v>Reporting Borrowers</x:v>
      </x:c>
      <x:c r="C361" t="n">
        <x:v>44</x:v>
      </x:c>
      <x:c r="D361" t="str">
        <x:v>Matrix Recent Reliability Score</x:v>
      </x:c>
    </x:row>
    <x:row r="362">
      <x:c r="A362" t="str">
        <x:v>OLAP</x:v>
      </x:c>
      <x:c r="B362" t="str">
        <x:v>Reporting Borrowers</x:v>
      </x:c>
      <x:c r="C362" t="n">
        <x:v>45</x:v>
      </x:c>
      <x:c r="D362" t="str">
        <x:v>Matrix Historical Reliability Score</x:v>
      </x:c>
    </x:row>
    <x:row r="363">
      <x:c r="A363" t="str">
        <x:v>OLAP</x:v>
      </x:c>
      <x:c r="B363" t="str">
        <x:v>Reporting Borrowers</x:v>
      </x:c>
      <x:c r="C363" t="n">
        <x:v>46</x:v>
      </x:c>
      <x:c r="D363" t="str">
        <x:v>Matrix Delay Severity Score</x:v>
      </x:c>
    </x:row>
    <x:row r="364">
      <x:c r="A364" t="str">
        <x:v>OLAP</x:v>
      </x:c>
      <x:c r="B364" t="str">
        <x:v>Reporting Borrowers</x:v>
      </x:c>
      <x:c r="C364" t="n">
        <x:v>47</x:v>
      </x:c>
      <x:c r="D364" t="str">
        <x:v>Matrix Current Condition Score</x:v>
      </x:c>
    </x:row>
    <x:row r="365">
      <x:c r="A365" t="str">
        <x:v>OLAP</x:v>
      </x:c>
      <x:c r="B365" t="str">
        <x:v>Reporting Borrowers</x:v>
      </x:c>
      <x:c r="C365" t="n">
        <x:v>48</x:v>
      </x:c>
      <x:c r="D365" t="str">
        <x:v>Matrix History Sufficient</x:v>
      </x:c>
    </x:row>
    <x:row r="366">
      <x:c r="A366" t="str">
        <x:v>OLAP</x:v>
      </x:c>
      <x:c r="B366" t="str">
        <x:v>Reporting Borrowers</x:v>
      </x:c>
      <x:c r="C366" t="n">
        <x:v>49</x:v>
      </x:c>
      <x:c r="D366" t="str">
        <x:v>Matrix Stability Score</x:v>
      </x:c>
    </x:row>
    <x:row r="367">
      <x:c r="A367" t="str">
        <x:v>OLAP</x:v>
      </x:c>
      <x:c r="B367" t="str">
        <x:v>Reporting Borrowers</x:v>
      </x:c>
      <x:c r="C367" t="n">
        <x:v>50</x:v>
      </x:c>
      <x:c r="D367" t="str">
        <x:v>Matrix Quadrant</x:v>
      </x:c>
    </x:row>
    <x:row r="368">
      <x:c r="A368" t="str">
        <x:v>OLAP</x:v>
      </x:c>
      <x:c r="B368" t="str">
        <x:v>Reporting Borrowers</x:v>
      </x:c>
      <x:c r="C368" t="n">
        <x:v>51</x:v>
      </x:c>
      <x:c r="D368" t="str">
        <x:v>Matrix Bubble Label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29765aa85c440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Tables and columns present in only one live application definition; reconciled through OLAP v1.000175 for the borrower matrix on 2026-09-02.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>
      <x:c r="A196" t="str">
        <x:v>Column</x:v>
      </x:c>
      <x:c r="B196" t="str">
        <x:v>Borrowers</x:v>
      </x:c>
      <x:c r="C196" t="str">
        <x:v>Matrix Bubble Label</x:v>
      </x:c>
      <x:c r="D196" t="str">
        <x:v>No</x:v>
      </x:c>
      <x:c r="E196" t="str">
        <x:v>Yes</x:v>
      </x:c>
      <x:c r="F196" t="str">
        <x:v>Borrower label with its matrix classification for borrower-grain Looker Studio bubbles.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818203bec46d43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90203acfc14272"/>
  </x:tableParts>
</x:worksheet>
</file>