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Slices" sheetId="5" state="visible" r:id="rId5"/>
    <sheet xmlns:r="http://schemas.openxmlformats.org/officeDocument/2006/relationships" name="Slice Columns" sheetId="6" state="visible" r:id="rId6"/>
    <sheet xmlns:r="http://schemas.openxmlformats.org/officeDocument/2006/relationships" name="App Variances" sheetId="7" state="visible" r:id="rId7"/>
    <sheet xmlns:r="http://schemas.openxmlformats.org/officeDocument/2006/relationships" name="Change Log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667085"/>
      <sz val="10"/>
    </font>
    <font>
      <name val="Carlito"/>
      <b val="1"/>
      <color rgb="FFFFFFFF"/>
      <sz val="11"/>
    </font>
    <font>
      <name val="Carlito"/>
      <b val="1"/>
      <color rgb="FF17365D"/>
      <sz val="11"/>
    </font>
    <font>
      <name val="Carlito"/>
      <b val="1"/>
      <color rgb="FF172B3A"/>
      <sz val="11"/>
    </font>
    <font>
      <name val="Carlito"/>
      <color rgb="FF172B3A"/>
      <sz val="9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16">
    <border/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C9A227"/>
      </left>
      <top style="thin">
        <color rgb="FFC9A227"/>
      </top>
    </border>
    <border>
      <top style="thin">
        <color rgb="FFC9A227"/>
      </top>
    </border>
    <border>
      <right style="thin">
        <color rgb="FFC9A227"/>
      </right>
      <top style="thin">
        <color rgb="FFC9A227"/>
      </top>
    </border>
    <border>
      <left style="thin">
        <color rgb="FFC9A227"/>
      </left>
    </border>
    <border>
      <right style="thin">
        <color rgb="FFC9A227"/>
      </right>
    </border>
    <border>
      <left style="thin">
        <color rgb="FFC9A227"/>
      </left>
      <bottom style="thin">
        <color rgb="FFC9A227"/>
      </bottom>
    </border>
    <border>
      <bottom style="thin">
        <color rgb="FFC9A227"/>
      </bottom>
    </border>
    <border>
      <right style="thin">
        <color rgb="FFC9A227"/>
      </right>
      <bottom style="thin">
        <color rgb="FFC9A227"/>
      </bottom>
    </border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bottom style="thin">
        <color rgb="FFC9D3DD"/>
      </bottom>
    </border>
    <border>
      <top style="thin">
        <color rgb="FFC9D3DD"/>
      </top>
      <bottom style="thin">
        <color rgb="FFC9D3DD"/>
      </bottom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3" fillId="4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4" pivotButton="0" quotePrefix="0" xfId="0"/>
    <xf numFmtId="0" fontId="5" fillId="5" borderId="5" pivotButton="0" quotePrefix="0" xfId="0"/>
    <xf numFmtId="0" fontId="5" fillId="5" borderId="6" pivotButton="0" quotePrefix="0" xfId="0"/>
    <xf numFmtId="0" fontId="5" fillId="5" borderId="7" pivotButton="0" quotePrefix="0" xfId="0"/>
    <xf numFmtId="0" fontId="5" fillId="5" borderId="8" pivotButton="0" quotePrefix="0" xfId="0"/>
    <xf numFmtId="0" fontId="5" fillId="5" borderId="9" pivotButton="0" quotePrefix="0" xfId="0"/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4" applyAlignment="1" pivotButton="0" quotePrefix="0" xfId="0">
      <alignment wrapText="1"/>
    </xf>
    <xf numFmtId="0" fontId="5" fillId="5" borderId="5" applyAlignment="1" pivotButton="0" quotePrefix="0" xfId="0">
      <alignment wrapText="1"/>
    </xf>
    <xf numFmtId="0" fontId="5" fillId="5" borderId="0" applyAlignment="1" pivotButton="0" quotePrefix="0" xfId="0">
      <alignment wrapText="1"/>
    </xf>
    <xf numFmtId="0" fontId="5" fillId="5" borderId="6" applyAlignment="1" pivotButton="0" quotePrefix="0" xfId="0">
      <alignment wrapText="1"/>
    </xf>
    <xf numFmtId="0" fontId="5" fillId="5" borderId="7" applyAlignment="1" pivotButton="0" quotePrefix="0" xfId="0">
      <alignment wrapText="1"/>
    </xf>
    <xf numFmtId="0" fontId="5" fillId="5" borderId="8" applyAlignment="1" pivotButton="0" quotePrefix="0" xfId="0">
      <alignment wrapText="1"/>
    </xf>
    <xf numFmtId="0" fontId="5" fillId="5" borderId="9" applyAlignment="1" pivotButton="0" quotePrefix="0" xfId="0">
      <alignment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4" borderId="10" pivotButton="0" quotePrefix="0" xfId="0"/>
    <xf numFmtId="0" fontId="3" fillId="4" borderId="11" pivotButton="0" quotePrefix="0" xfId="0"/>
    <xf numFmtId="0" fontId="3" fillId="4" borderId="12" pivotButton="0" quotePrefix="0" xfId="0"/>
    <xf numFmtId="0" fontId="3" fillId="4" borderId="10" applyAlignment="1" pivotButton="0" quotePrefix="0" xfId="0">
      <alignment wrapText="1"/>
    </xf>
    <xf numFmtId="0" fontId="3" fillId="4" borderId="11" applyAlignment="1" pivotButton="0" quotePrefix="0" xfId="0">
      <alignment wrapText="1"/>
    </xf>
    <xf numFmtId="0" fontId="3" fillId="4" borderId="12" applyAlignment="1" pivotButton="0" quotePrefix="0" xfId="0">
      <alignment wrapText="1"/>
    </xf>
    <xf numFmtId="0" fontId="3" fillId="4" borderId="10" applyAlignment="1" pivotButton="0" quotePrefix="0" xfId="0">
      <alignment vertical="center" wrapText="1"/>
    </xf>
    <xf numFmtId="0" fontId="3" fillId="4" borderId="11" applyAlignment="1" pivotButton="0" quotePrefix="0" xfId="0">
      <alignment vertical="center" wrapText="1"/>
    </xf>
    <xf numFmtId="0" fontId="3" fillId="4" borderId="12" applyAlignment="1" pivotButton="0" quotePrefix="0" xfId="0">
      <alignment vertical="center" wrapText="1"/>
    </xf>
    <xf numFmtId="0" fontId="6" fillId="0" borderId="0" pivotButton="0" quotePrefix="0" xfId="0"/>
    <xf numFmtId="0" fontId="6" fillId="0" borderId="13" pivotButton="0" quotePrefix="0" xfId="0"/>
    <xf numFmtId="0" fontId="6" fillId="0" borderId="14" pivotButton="0" quotePrefix="0" xfId="0"/>
    <xf numFmtId="0" fontId="6" fillId="0" borderId="13" applyAlignment="1" pivotButton="0" quotePrefix="0" xfId="0">
      <alignment vertical="top"/>
    </xf>
    <xf numFmtId="0" fontId="6" fillId="0" borderId="14" applyAlignment="1" pivotButton="0" quotePrefix="0" xfId="0">
      <alignment vertical="top"/>
    </xf>
    <xf numFmtId="0" fontId="6" fillId="0" borderId="13" applyAlignment="1" pivotButton="0" quotePrefix="0" xfId="0">
      <alignment vertical="top" wrapText="1"/>
    </xf>
    <xf numFmtId="0" fontId="6" fillId="0" borderId="14" applyAlignment="1" pivotButton="0" quotePrefix="0" xfId="0">
      <alignment vertical="top" wrapText="1"/>
    </xf>
    <xf numFmtId="164" fontId="6" fillId="0" borderId="13" applyAlignment="1" pivotButton="0" quotePrefix="0" xfId="0">
      <alignment vertical="top"/>
    </xf>
    <xf numFmtId="164" fontId="0" fillId="0" borderId="0" pivotButton="0" quotePrefix="0" xfId="0"/>
    <xf numFmtId="0" fontId="5" fillId="5" borderId="15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6" fillId="0" borderId="13" applyAlignment="1" pivotButton="0" quotePrefix="0" xfId="0">
      <alignment vertical="top"/>
    </xf>
  </cellXfs>
  <cellStyles count="1">
    <cellStyle name="Normal" xfId="0"/>
  </cellStyles>
  <dxfs count="4">
    <dxf>
      <font>
        <color rgb="FF17365D"/>
      </font>
      <fill>
        <patternFill>
          <bgColor rgb="FFD9EA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DataModelTables" displayName="DataModelTables" ref="A4:G15" headerRowCount="1" totalsRowCount="0" totalsRowShown="0">
  <autoFilter ref="A4:G15"/>
  <tableColumns count="7">
    <tableColumn id="1" name="Table"/>
    <tableColumn id="2" name="Source"/>
    <tableColumn id="3" name="Loaded in"/>
    <tableColumn id="4" name="Physical"/>
    <tableColumn id="5" name="OLTP VCs"/>
    <tableColumn id="6" name="OLAP VCs"/>
    <tableColumn id="7" name="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ModelColumns" displayName="DataModelColumns" ref="A4:H303" headerRowCount="1" totalsRowCount="0" totalsRowShown="0">
  <autoFilter ref="A4:H300"/>
  <tableColumns count="8">
    <tableColumn id="1" name="Table"/>
    <tableColumn id="2" name="Column Order"/>
    <tableColumn id="3" name="Column"/>
    <tableColumn id="4" name="Kind / type"/>
    <tableColumn id="5" name="Availability"/>
    <tableColumn id="6" name="Flags"/>
    <tableColumn id="7" name="Purpose"/>
    <tableColumn id="8" name="Definition / expres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ModelRelationships" displayName="DataModelRelationships" ref="A4:E12" headerRowCount="1" totalsRowCount="0" totalsRowShown="0">
  <autoFilter ref="A4:E12"/>
  <tableColumns count="5">
    <tableColumn id="1" name="Child table"/>
    <tableColumn id="2" name="Ref column"/>
    <tableColumn id="3" name="Parent table"/>
    <tableColumn id="4" name="Cardinality"/>
    <tableColumn id="5" name="Is a part of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ModelSlices" displayName="DataModelSlices" ref="A4:H17" headerRowCount="1" totalsRowCount="0" totalsRowShown="0">
  <tableColumns count="8">
    <tableColumn id="1" name="App"/>
    <tableColumn id="2" name="Slice"/>
    <tableColumn id="3" name="Source"/>
    <tableColumn id="4" name="Row Filter"/>
    <tableColumn id="5" name="Update Mode"/>
    <tableColumn id="6" name="Column Count"/>
    <tableColumn id="7" name="Purpose"/>
    <tableColumn id="8" name="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ModelSliceColumns" displayName="DataModelSliceColumns" ref="A4:D354" headerRowCount="1" totalsRowCount="0" totalsRowShown="0">
  <tableColumns count="4">
    <tableColumn id="1" name="App"/>
    <tableColumn id="2" name="Slice"/>
    <tableColumn id="3" name="Column Order"/>
    <tableColumn id="4" name="Colum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ModelAppVariances" displayName="DataModelAppVariances" ref="A4:F181" headerRowCount="1" totalsRowCount="0" totalsRowShown="0">
  <autoFilter ref="A4:F178"/>
  <tableColumns count="6">
    <tableColumn id="1" name="Object Type"/>
    <tableColumn id="2" name="Table"/>
    <tableColumn id="3" name="Object"/>
    <tableColumn id="4" name="OLTP Presence"/>
    <tableColumn id="5" name="OLAP Presence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ModelChangeLog" displayName="DataModelChangeLog" ref="A4:I5" headerRowCount="1" totalsRowCount="0" totalsRowShown="0">
  <autoFilter ref="A4:I5"/>
  <tableColumns count="9">
    <tableColumn id="1" name="Date"/>
    <tableColumn id="2" name="Artifact"/>
    <tableColumn id="3" name="Object Type"/>
    <tableColumn id="4" name="Object Name"/>
    <tableColumn id="5" name="Change Type"/>
    <tableColumn id="6" name="Summary"/>
    <tableColumn id="7" name="Source Baseline"/>
    <tableColumn id="8" name="Reconciled with AppSheet?"/>
    <tableColumn id="9" name="Updat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3" t="inlineStr">
        <is>
          <t>AppSheet Data Dictionary</t>
        </is>
      </c>
    </row>
    <row r="2" ht="30" customHeight="1">
      <c r="A2" s="7" t="inlineStr">
        <is>
          <t>Technical companion to AppSheet_Data_Model_Overview.md</t>
        </is>
      </c>
    </row>
    <row r="3"/>
    <row r="4">
      <c r="A4" s="11" t="inlineStr">
        <is>
          <t>Control</t>
        </is>
      </c>
      <c r="B4" s="11" t="inlineStr">
        <is>
          <t>Value</t>
        </is>
      </c>
    </row>
    <row r="5" ht="32" customHeight="1">
      <c r="A5" s="12" t="inlineStr">
        <is>
          <t>Reconciliation status</t>
        </is>
      </c>
      <c r="B5" s="14" t="inlineStr">
        <is>
          <t>Reconciled with production OLTP v2.200099 on 2026-09-01 for the Borrowers visibility control. Money database now contains Borrowers[Hidden Flag]; production OLTP loads it and filters only the primary Borrowers view through Visible Borrowers. OLAP remains at its prior structural baseline and has not regenerated this physical field.</t>
        </is>
      </c>
    </row>
    <row r="6" ht="34" customHeight="1">
      <c r="A6" s="12" t="inlineStr">
        <is>
          <t>Live baselines</t>
        </is>
      </c>
      <c r="B6" s="14" t="inlineStr">
        <is>
          <t>OLTP v2.200099 — Loan Manager ผู้จัดการสินเชื่อ — 93844270-6aa5-420b-a960-bcdf08abd357
OLAP v1.000151 — Loan Business Insights — e74dd368-654f-44d7-bccf-83cf361d1cdb</t>
        </is>
      </c>
    </row>
    <row r="7" ht="15" customHeight="1">
      <c r="A7" s="12" t="inlineStr">
        <is>
          <t>Reconciliation date</t>
        </is>
      </c>
      <c r="B7" s="14" t="inlineStr">
        <is>
          <t>2026-09-01 (Asia/Singapore)</t>
        </is>
      </c>
    </row>
    <row r="8" ht="15" customHeight="1">
      <c r="A8" s="12" t="inlineStr">
        <is>
          <t>Tables</t>
        </is>
      </c>
      <c r="B8" s="14">
        <f>COUNTA('Tables'!A5:A100)</f>
        <v/>
      </c>
    </row>
    <row r="9" ht="15" customHeight="1">
      <c r="A9" s="12" t="inlineStr">
        <is>
          <t>Columns</t>
        </is>
      </c>
      <c r="B9" s="14">
        <f>COUNTA('Columns'!A5:A1000)</f>
        <v/>
      </c>
    </row>
    <row r="10" ht="15" customHeight="1">
      <c r="A10" s="12" t="inlineStr">
        <is>
          <t>Relationships</t>
        </is>
      </c>
      <c r="B10" s="14">
        <f>COUNTA('Relationships'!A5:A100)</f>
        <v/>
      </c>
    </row>
    <row r="11" ht="15" customHeight="1">
      <c r="A11" s="12" t="inlineStr">
        <is>
          <t>Slices</t>
        </is>
      </c>
      <c r="B11" s="14" t="n">
        <v>13</v>
      </c>
    </row>
    <row r="14">
      <c r="A14" s="11" t="inlineStr">
        <is>
          <t>Worksheet</t>
        </is>
      </c>
      <c r="B14" s="11" t="inlineStr">
        <is>
          <t>Maintenance purpose</t>
        </is>
      </c>
    </row>
    <row r="15" ht="15" customHeight="1">
      <c r="A15" s="15" t="inlineStr">
        <is>
          <t>Tables</t>
        </is>
      </c>
      <c r="B15" s="14" t="inlineStr">
        <is>
          <t>One row per source table with loading scope, physical/VC counts, and purpose.</t>
        </is>
      </c>
    </row>
    <row r="16" ht="26.39999961853027" customHeight="1">
      <c r="A16" s="15" t="inlineStr">
        <is>
          <t>Columns</t>
        </is>
      </c>
      <c r="B16" s="14" t="inlineStr">
        <is>
          <t>One row per unioned column definition. Shared rows follow the OLAP order; OLTP-only columns are appended where necessary.</t>
        </is>
      </c>
    </row>
    <row r="17" ht="15" customHeight="1">
      <c r="A17" s="15" t="inlineStr">
        <is>
          <t>Relationships</t>
        </is>
      </c>
      <c r="B17" s="14" t="inlineStr">
        <is>
          <t>Direct Ref relationships and documented part-of behavior.</t>
        </is>
      </c>
    </row>
    <row r="18" ht="15" customHeight="1">
      <c r="A18" s="15" t="inlineStr">
        <is>
          <t>Slices</t>
        </is>
      </c>
      <c r="B18" s="14" t="inlineStr">
        <is>
          <t>Slice source, filter, update mode, purpose, and column count.</t>
        </is>
      </c>
    </row>
    <row r="19" ht="15" customHeight="1">
      <c r="A19" s="15" t="inlineStr">
        <is>
          <t>Slice Columns</t>
        </is>
      </c>
      <c r="B19" s="14" t="inlineStr">
        <is>
          <t>One row per included column, preserving slice column order.</t>
        </is>
      </c>
    </row>
    <row r="20" ht="15" customHeight="1">
      <c r="A20" s="15" t="inlineStr">
        <is>
          <t>App Variances</t>
        </is>
      </c>
      <c r="B20" s="14" t="inlineStr">
        <is>
          <t>Tables and columns present in only one app.</t>
        </is>
      </c>
    </row>
    <row r="21" ht="15" customHeight="1">
      <c r="A21" s="15" t="inlineStr">
        <is>
          <t>Change Log</t>
        </is>
      </c>
      <c r="B21" s="14" t="inlineStr">
        <is>
          <t>Reserved historical worksheet. Authoritative change history is maintained in Change Logs/*.md.</t>
        </is>
      </c>
    </row>
    <row r="22" ht="26.39999961853027" customHeight="1">
      <c r="A22" s="15" t="inlineStr">
        <is>
          <t>Maintenance rule</t>
        </is>
      </c>
      <c r="B22" s="14" t="inlineStr">
        <is>
          <t>For every model change, update this workbook, AppSheet_Data_Model_Overview.md, and a dated Markdown file in Change Logs/.</t>
        </is>
      </c>
    </row>
    <row r="24">
      <c r="A24" s="62" t="inlineStr">
        <is>
          <t>Shared VC baseline: 81 VCs remain present in both apps. Five shared formulas now intentionally differ because the daily-installment extension was implemented only in OLTP: Borrowers[Active Daily Interest], Loans[Expected Interest This Month], Loans[Effective Daily Interest Rate], Loans[Loan Type TE], and Statistics[Expected Daily Interest]. Loans[Expected Daily Interest Amount] is OLTP-only.</t>
        </is>
      </c>
      <c r="B24" s="63" t="n"/>
      <c r="C24" s="63" t="n"/>
      <c r="D24" s="63" t="n"/>
      <c r="E24" s="63" t="n"/>
      <c r="F24" s="64" t="n"/>
    </row>
    <row r="25">
      <c r="A25" s="65" t="n"/>
      <c r="F25" s="66" t="n"/>
    </row>
    <row r="26">
      <c r="A26" s="67" t="n"/>
      <c r="B26" s="68" t="n"/>
      <c r="C26" s="68" t="n"/>
      <c r="D26" s="68" t="n"/>
      <c r="E26" s="68" t="n"/>
      <c r="F26" s="69" t="n"/>
    </row>
  </sheetData>
  <mergeCells count="3">
    <mergeCell ref="A2:F2"/>
    <mergeCell ref="A1:F1"/>
    <mergeCell ref="A24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2" customWidth="1" min="4" max="4"/>
    <col width="12" customWidth="1" min="5" max="5"/>
    <col width="12" customWidth="1" min="6" max="6"/>
    <col width="66" customWidth="1" min="7" max="7"/>
  </cols>
  <sheetData>
    <row r="1" ht="30" customHeight="1">
      <c r="A1" s="3" t="inlineStr">
        <is>
          <t>Tables</t>
        </is>
      </c>
    </row>
    <row r="2" ht="30" customHeight="1">
      <c r="A2" s="7" t="inlineStr">
        <is>
          <t>Source ownership, application loading, physical/virtual column counts, and table purpose.</t>
        </is>
      </c>
    </row>
    <row r="4" ht="30" customHeight="1">
      <c r="A4" s="50" t="inlineStr">
        <is>
          <t>Table</t>
        </is>
      </c>
      <c r="B4" s="51" t="inlineStr">
        <is>
          <t>Source</t>
        </is>
      </c>
      <c r="C4" s="51" t="inlineStr">
        <is>
          <t>Loaded in</t>
        </is>
      </c>
      <c r="D4" s="51" t="inlineStr">
        <is>
          <t>Physical</t>
        </is>
      </c>
      <c r="E4" s="51" t="inlineStr">
        <is>
          <t>OLTP VCs</t>
        </is>
      </c>
      <c r="F4" s="51" t="inlineStr">
        <is>
          <t>OLAP VCs</t>
        </is>
      </c>
      <c r="G4" s="52" t="inlineStr">
        <is>
          <t>Purpose</t>
        </is>
      </c>
    </row>
    <row r="5" ht="15" customHeight="1">
      <c r="A5" s="56" t="inlineStr">
        <is>
          <t>Borrowers</t>
        </is>
      </c>
      <c r="B5" s="58" t="inlineStr">
        <is>
          <t>Money database</t>
        </is>
      </c>
      <c r="C5" s="56" t="inlineStr">
        <is>
          <t>OLTP + OLAP</t>
        </is>
      </c>
      <c r="D5" s="56" t="inlineStr">
        <is>
          <t>7</t>
        </is>
      </c>
      <c r="E5" s="56" t="inlineStr">
        <is>
          <t>24</t>
        </is>
      </c>
      <c r="F5" s="56" t="inlineStr">
        <is>
          <t>50</t>
        </is>
      </c>
      <c r="G5" s="58" t="inlineStr">
        <is>
          <t>Borrower master records and borrower-level operational or portfolio indicators; production OLTP also stores a view-only Hidden Flag.</t>
        </is>
      </c>
    </row>
    <row r="6" ht="15" customHeight="1">
      <c r="A6" s="57" t="inlineStr">
        <is>
          <t>Calendar</t>
        </is>
      </c>
      <c r="B6" s="59" t="inlineStr">
        <is>
          <t>Calendar Help Table / Sheet1</t>
        </is>
      </c>
      <c r="C6" s="57" t="inlineStr">
        <is>
          <t>OLAP only</t>
        </is>
      </c>
      <c r="D6" s="57" t="inlineStr">
        <is>
          <t>2</t>
        </is>
      </c>
      <c r="E6" s="57" t="inlineStr">
        <is>
          <t>0</t>
        </is>
      </c>
      <c r="F6" s="57" t="inlineStr">
        <is>
          <t>22</t>
        </is>
      </c>
      <c r="G6" s="59" t="inlineStr">
        <is>
          <t>Google Sheets-backed date spine used by OLAP loan-assessment projections; not part of Money database.</t>
        </is>
      </c>
    </row>
    <row r="7" ht="15" customHeight="1">
      <c r="A7" s="57" t="inlineStr">
        <is>
          <t>Cash Pool Contributions</t>
        </is>
      </c>
      <c r="B7" s="59" t="inlineStr">
        <is>
          <t>Money database</t>
        </is>
      </c>
      <c r="C7" s="57" t="inlineStr">
        <is>
          <t>OLAP only</t>
        </is>
      </c>
      <c r="D7" s="57" t="inlineStr">
        <is>
          <t>7</t>
        </is>
      </c>
      <c r="E7" s="57" t="inlineStr">
        <is>
          <t>0</t>
        </is>
      </c>
      <c r="F7" s="57" t="inlineStr">
        <is>
          <t>2</t>
        </is>
      </c>
      <c r="G7" s="59" t="inlineStr">
        <is>
          <t>Partner capital-contribution movements that build the lendable cash pool.</t>
        </is>
      </c>
    </row>
    <row r="8" ht="15" customHeight="1">
      <c r="A8" s="57" t="inlineStr">
        <is>
          <t>Charges</t>
        </is>
      </c>
      <c r="B8" s="59" t="inlineStr">
        <is>
          <t>Money database</t>
        </is>
      </c>
      <c r="C8" s="57" t="inlineStr">
        <is>
          <t>OLTP + OLAP</t>
        </is>
      </c>
      <c r="D8" s="57" t="inlineStr">
        <is>
          <t>7</t>
        </is>
      </c>
      <c r="E8" s="57" t="inlineStr">
        <is>
          <t>15</t>
        </is>
      </c>
      <c r="F8" s="57" t="inlineStr">
        <is>
          <t>18</t>
        </is>
      </c>
      <c r="G8" s="59" t="inlineStr">
        <is>
          <t>Scheduled amounts due and collection state at charge level, including principal and interest allocation.</t>
        </is>
      </c>
    </row>
    <row r="9" ht="15" customHeight="1">
      <c r="A9" s="57" t="inlineStr">
        <is>
          <t>Daily Analytics</t>
        </is>
      </c>
      <c r="B9" s="59" t="inlineStr">
        <is>
          <t>Money database</t>
        </is>
      </c>
      <c r="C9" s="57" t="inlineStr">
        <is>
          <t>OLAP only</t>
        </is>
      </c>
      <c r="D9" s="57" t="inlineStr">
        <is>
          <t>17</t>
        </is>
      </c>
      <c r="E9" s="57" t="inlineStr">
        <is>
          <t>0</t>
        </is>
      </c>
      <c r="F9" s="57" t="inlineStr">
        <is>
          <t>6</t>
        </is>
      </c>
      <c r="G9" s="59" t="inlineStr">
        <is>
          <t>Persisted daily portfolio snapshot fact table for historical reporting and governed feeds.</t>
        </is>
      </c>
    </row>
    <row r="10" ht="15" customHeight="1">
      <c r="A10" s="57" t="inlineStr">
        <is>
          <t>Loan Assessment</t>
        </is>
      </c>
      <c r="B10" s="59" t="inlineStr">
        <is>
          <t>Money database</t>
        </is>
      </c>
      <c r="C10" s="57" t="inlineStr">
        <is>
          <t>OLAP only</t>
        </is>
      </c>
      <c r="D10" s="57" t="inlineStr">
        <is>
          <t>6</t>
        </is>
      </c>
      <c r="E10" s="57" t="inlineStr">
        <is>
          <t>0</t>
        </is>
      </c>
      <c r="F10" s="57" t="inlineStr">
        <is>
          <t>16</t>
        </is>
      </c>
      <c r="G10" s="59" t="inlineStr">
        <is>
          <t>Input/control record for evaluating a proposed loan against projected coverage and return.</t>
        </is>
      </c>
    </row>
    <row r="11" ht="15" customHeight="1">
      <c r="A11" s="57" t="inlineStr">
        <is>
          <t>Loans</t>
        </is>
      </c>
      <c r="B11" s="59" t="inlineStr">
        <is>
          <t>Money database</t>
        </is>
      </c>
      <c r="C11" s="57" t="inlineStr">
        <is>
          <t>OLTP + OLAP</t>
        </is>
      </c>
      <c r="D11" s="57" t="n">
        <v>20</v>
      </c>
      <c r="E11" s="57" t="n">
        <v>20</v>
      </c>
      <c r="F11" s="57" t="n">
        <v>28</v>
      </c>
      <c r="G11" s="59" t="inlineStr">
        <is>
          <t>Loan contracts, commercial terms, lifecycle state, balances, and loan-level risk metrics, including the OLTP daily-installment amount and its operational forecast helper.</t>
        </is>
      </c>
    </row>
    <row r="12" ht="15" customHeight="1">
      <c r="A12" s="57" t="inlineStr">
        <is>
          <t>Partners</t>
        </is>
      </c>
      <c r="B12" s="59" t="inlineStr">
        <is>
          <t>Money database</t>
        </is>
      </c>
      <c r="C12" s="57" t="inlineStr">
        <is>
          <t>OLTP + OLAP</t>
        </is>
      </c>
      <c r="D12" s="57" t="inlineStr">
        <is>
          <t>5</t>
        </is>
      </c>
      <c r="E12" s="57" t="inlineStr">
        <is>
          <t>0</t>
        </is>
      </c>
      <c r="F12" s="57" t="inlineStr">
        <is>
          <t>12</t>
        </is>
      </c>
      <c r="G12" s="59" t="inlineStr">
        <is>
          <t>Partner master records used for capital participation and settlement reporting.</t>
        </is>
      </c>
    </row>
    <row r="13" ht="15" customHeight="1">
      <c r="A13" s="57" t="inlineStr">
        <is>
          <t>Repayments</t>
        </is>
      </c>
      <c r="B13" s="59" t="inlineStr">
        <is>
          <t>Money database</t>
        </is>
      </c>
      <c r="C13" s="57" t="inlineStr">
        <is>
          <t>OLTP + OLAP</t>
        </is>
      </c>
      <c r="D13" s="57" t="inlineStr">
        <is>
          <t>9</t>
        </is>
      </c>
      <c r="E13" s="57" t="inlineStr">
        <is>
          <t>4</t>
        </is>
      </c>
      <c r="F13" s="57" t="inlineStr">
        <is>
          <t>13</t>
        </is>
      </c>
      <c r="G13" s="59" t="inlineStr">
        <is>
          <t>Posted payment transactions and their allocation to loans and charges.</t>
        </is>
      </c>
    </row>
    <row r="14" ht="15" customHeight="1">
      <c r="A14" s="57" t="inlineStr">
        <is>
          <t>Settlements</t>
        </is>
      </c>
      <c r="B14" s="59" t="inlineStr">
        <is>
          <t>Money database</t>
        </is>
      </c>
      <c r="C14" s="57" t="inlineStr">
        <is>
          <t>OLAP only</t>
        </is>
      </c>
      <c r="D14" s="57" t="inlineStr">
        <is>
          <t>8</t>
        </is>
      </c>
      <c r="E14" s="57" t="inlineStr">
        <is>
          <t>0</t>
        </is>
      </c>
      <c r="F14" s="57" t="inlineStr">
        <is>
          <t>0</t>
        </is>
      </c>
      <c r="G14" s="59" t="inlineStr">
        <is>
          <t>Auditable partner settlement records and settlement status.</t>
        </is>
      </c>
    </row>
    <row r="15" ht="15" customHeight="1">
      <c r="A15" s="57" t="inlineStr">
        <is>
          <t>Statistics</t>
        </is>
      </c>
      <c r="B15" s="59" t="inlineStr">
        <is>
          <t>Money database</t>
        </is>
      </c>
      <c r="C15" s="57" t="inlineStr">
        <is>
          <t>OLTP + OLAP</t>
        </is>
      </c>
      <c r="D15" s="57" t="inlineStr">
        <is>
          <t>3</t>
        </is>
      </c>
      <c r="E15" s="57" t="inlineStr">
        <is>
          <t>23</t>
        </is>
      </c>
      <c r="F15" s="57" t="inlineStr">
        <is>
          <t>36</t>
        </is>
      </c>
      <c r="G15" s="59" t="inlineStr">
        <is>
          <t>Small KPI/control table used to expose app-level operational and reporting aggregates.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34" customWidth="1" min="3" max="3"/>
    <col width="22" customWidth="1" min="4" max="4"/>
    <col width="18" customWidth="1" min="5" max="5"/>
    <col width="14" customWidth="1" min="6" max="6"/>
    <col width="58" customWidth="1" min="7" max="7"/>
    <col width="78" customWidth="1" min="8" max="8"/>
  </cols>
  <sheetData>
    <row r="1" ht="30" customHeight="1">
      <c r="A1" s="3" t="inlineStr">
        <is>
          <t>Columns</t>
        </is>
      </c>
    </row>
    <row r="2" ht="30" customHeight="1">
      <c r="A2" s="7" t="inlineStr">
        <is>
          <t>Reconciled union of OLTP and OLAP physical and virtual columns. Production OLTP daily-installment additions and the five resulting shared-formula variances were reconciled on 2026-09-01; OLAP remains unchanged.</t>
        </is>
      </c>
    </row>
    <row r="4" ht="30" customHeight="1">
      <c r="A4" s="50" t="inlineStr">
        <is>
          <t>Table</t>
        </is>
      </c>
      <c r="B4" s="51" t="inlineStr">
        <is>
          <t>Column Order</t>
        </is>
      </c>
      <c r="C4" s="51" t="inlineStr">
        <is>
          <t>Column</t>
        </is>
      </c>
      <c r="D4" s="51" t="inlineStr">
        <is>
          <t>Kind / type</t>
        </is>
      </c>
      <c r="E4" s="51" t="inlineStr">
        <is>
          <t>Availability</t>
        </is>
      </c>
      <c r="F4" s="51" t="inlineStr">
        <is>
          <t>Flags</t>
        </is>
      </c>
      <c r="G4" s="51" t="inlineStr">
        <is>
          <t>Purpose</t>
        </is>
      </c>
      <c r="H4" s="52" t="inlineStr">
        <is>
          <t>Definition / expression</t>
        </is>
      </c>
    </row>
    <row r="5" ht="15" customHeight="1">
      <c r="A5" s="56" t="inlineStr">
        <is>
          <t>Borrowers</t>
        </is>
      </c>
      <c r="B5" s="56" t="n">
        <v>1</v>
      </c>
      <c r="C5" s="58" t="inlineStr">
        <is>
          <t>_RowNumber</t>
        </is>
      </c>
      <c r="D5" s="58" t="inlineStr">
        <is>
          <t>Physical / Number</t>
        </is>
      </c>
      <c r="E5" s="56" t="inlineStr">
        <is>
          <t>OLTP + OLAP</t>
        </is>
      </c>
      <c r="F5" s="56" t="inlineStr">
        <is>
          <t>-</t>
        </is>
      </c>
      <c r="G5" s="58" t="inlineStr">
        <is>
          <t>System-generated source-row ordinal; not a stable business key.</t>
        </is>
      </c>
      <c r="H5" s="58" t="inlineStr">
        <is>
          <t>Stored source column</t>
        </is>
      </c>
    </row>
    <row r="6" ht="15" customHeight="1">
      <c r="A6" s="57" t="inlineStr">
        <is>
          <t>Borrowers</t>
        </is>
      </c>
      <c r="B6" s="57" t="n">
        <v>2</v>
      </c>
      <c r="C6" s="59" t="inlineStr">
        <is>
          <t>Row ID</t>
        </is>
      </c>
      <c r="D6" s="59" t="inlineStr">
        <is>
          <t>Physical / Text</t>
        </is>
      </c>
      <c r="E6" s="57" t="inlineStr">
        <is>
          <t>OLTP + OLAP</t>
        </is>
      </c>
      <c r="F6" s="57" t="inlineStr">
        <is>
          <t>Key, Required</t>
        </is>
      </c>
      <c r="G6" s="59" t="inlineStr">
        <is>
          <t>Immutable row key generated by the source database.</t>
        </is>
      </c>
      <c r="H6" s="59" t="inlineStr">
        <is>
          <t>Stored source column; initial value: UNIQUEID("PackedUUID")</t>
        </is>
      </c>
    </row>
    <row r="7" ht="15" customHeight="1">
      <c r="A7" s="57" t="inlineStr">
        <is>
          <t>Borrowers</t>
        </is>
      </c>
      <c r="B7" s="57" t="n">
        <v>3</v>
      </c>
      <c r="C7" s="59" t="inlineStr">
        <is>
          <t>Borrower Name</t>
        </is>
      </c>
      <c r="D7" s="59" t="inlineStr">
        <is>
          <t>Physical / Name</t>
        </is>
      </c>
      <c r="E7" s="57" t="inlineStr">
        <is>
          <t>OLTP + OLAP</t>
        </is>
      </c>
      <c r="F7" s="57" t="inlineStr">
        <is>
          <t>Required</t>
        </is>
      </c>
      <c r="G7" s="59" t="inlineStr">
        <is>
          <t>Stores the authoritative source value for Borrower Name.</t>
        </is>
      </c>
      <c r="H7" s="59" t="inlineStr">
        <is>
          <t>Stored source column</t>
        </is>
      </c>
    </row>
    <row r="8" ht="15" customHeight="1">
      <c r="A8" s="57" t="inlineStr">
        <is>
          <t>Borrowers</t>
        </is>
      </c>
      <c r="B8" s="57" t="n">
        <v>4</v>
      </c>
      <c r="C8" s="59" t="inlineStr">
        <is>
          <t>Telephone</t>
        </is>
      </c>
      <c r="D8" s="59" t="inlineStr">
        <is>
          <t>Physical / Phone</t>
        </is>
      </c>
      <c r="E8" s="57" t="inlineStr">
        <is>
          <t>OLTP + OLAP</t>
        </is>
      </c>
      <c r="F8" s="57" t="inlineStr">
        <is>
          <t>PII</t>
        </is>
      </c>
      <c r="G8" s="59" t="inlineStr">
        <is>
          <t>Stores the authoritative source value for Telephone.</t>
        </is>
      </c>
      <c r="H8" s="59" t="inlineStr">
        <is>
          <t>Stored source column</t>
        </is>
      </c>
    </row>
    <row r="9" ht="15" customHeight="1">
      <c r="A9" s="57" t="inlineStr">
        <is>
          <t>Borrowers</t>
        </is>
      </c>
      <c r="B9" s="57" t="n">
        <v>5</v>
      </c>
      <c r="C9" s="59" t="inlineStr">
        <is>
          <t>Description</t>
        </is>
      </c>
      <c r="D9" s="59" t="inlineStr">
        <is>
          <t>Physical / LongText</t>
        </is>
      </c>
      <c r="E9" s="57" t="inlineStr">
        <is>
          <t>OLTP + OLAP</t>
        </is>
      </c>
      <c r="F9" s="57" t="inlineStr">
        <is>
          <t>-</t>
        </is>
      </c>
      <c r="G9" s="59" t="inlineStr">
        <is>
          <t>Stores the authoritative source value for Description.</t>
        </is>
      </c>
      <c r="H9" s="59" t="inlineStr">
        <is>
          <t>Stored source column</t>
        </is>
      </c>
    </row>
    <row r="10" ht="15" customHeight="1">
      <c r="A10" s="57" t="inlineStr">
        <is>
          <t>Borrowers</t>
        </is>
      </c>
      <c r="B10" s="57" t="n">
        <v>6</v>
      </c>
      <c r="C10" s="59" t="inlineStr">
        <is>
          <t>Creation Date</t>
        </is>
      </c>
      <c r="D10" s="59" t="inlineStr">
        <is>
          <t>Physical / Date</t>
        </is>
      </c>
      <c r="E10" s="57" t="inlineStr">
        <is>
          <t>OLTP + OLAP</t>
        </is>
      </c>
      <c r="F10" s="57" t="inlineStr">
        <is>
          <t>Required</t>
        </is>
      </c>
      <c r="G10" s="59" t="inlineStr">
        <is>
          <t>Stores the source date for Creation Date.</t>
        </is>
      </c>
      <c r="H10" s="59" t="inlineStr">
        <is>
          <t>Stored source column; initial value: TODAY()</t>
        </is>
      </c>
    </row>
    <row r="11" ht="15" customHeight="1">
      <c r="A11" s="57" t="inlineStr">
        <is>
          <t>Borrowers</t>
        </is>
      </c>
      <c r="B11" s="57" t="n">
        <v>7</v>
      </c>
      <c r="C11" s="59" t="inlineStr">
        <is>
          <t>Hidden Flag</t>
        </is>
      </c>
      <c r="D11" s="59" t="inlineStr">
        <is>
          <t>Physical / Yes/No</t>
        </is>
      </c>
      <c r="E11" s="57" t="inlineStr">
        <is>
          <t>OLTP only</t>
        </is>
      </c>
      <c r="F11" s="57" t="inlineStr">
        <is>
          <t>OLTP: Show and editable; initial FALSE; searchable; OLAP: Not loaded</t>
        </is>
      </c>
      <c r="G11" s="59" t="inlineStr">
        <is>
          <t>View-only visibility control. TRUE hides the borrower from the production OLTP Borrowers list without excluding related loans, collections, or calculations.</t>
        </is>
      </c>
      <c r="H11" s="59" t="inlineStr">
        <is>
          <t>Stored source column; initial value: FALSE; display name: "ซ่อนจากรายชื่อผู้กู้ / Hide from Borrowers List"</t>
        </is>
      </c>
    </row>
    <row r="12" ht="15" customHeight="1">
      <c r="A12" s="57" t="inlineStr">
        <is>
          <t>Borrowers</t>
        </is>
      </c>
      <c r="B12" s="57" t="n">
        <v>8</v>
      </c>
      <c r="C12" s="59" t="inlineStr">
        <is>
          <t>Related Loans</t>
        </is>
      </c>
      <c r="D12" s="59" t="inlineStr">
        <is>
          <t>VC / List</t>
        </is>
      </c>
      <c r="E12" s="57" t="inlineStr">
        <is>
          <t>OLTP + OLAP</t>
        </is>
      </c>
      <c r="F12" s="57" t="inlineStr">
        <is>
          <t>-</t>
        </is>
      </c>
      <c r="G12" s="59" t="inlineStr">
        <is>
          <t>Reverse-reference list of child rows that point to this record.</t>
        </is>
      </c>
      <c r="H12" s="59" t="inlineStr">
        <is>
          <t>REF_ROWS("Loans", "Ref Borrowers")</t>
        </is>
      </c>
    </row>
    <row r="13" ht="15" customHeight="1">
      <c r="A13" s="57" t="inlineStr">
        <is>
          <t>Borrowers</t>
        </is>
      </c>
      <c r="B13" s="57" t="n">
        <v>9</v>
      </c>
      <c r="C13" s="59" t="inlineStr">
        <is>
          <t>Total Interest Earned</t>
        </is>
      </c>
      <c r="D13" s="59" t="inlineStr">
        <is>
          <t>VC / Price</t>
        </is>
      </c>
      <c r="E13" s="57" t="inlineStr">
        <is>
          <t>OLTP + OLAP</t>
        </is>
      </c>
      <c r="F13" s="57" t="inlineStr">
        <is>
          <t>-</t>
        </is>
      </c>
      <c r="G13" s="59" t="inlineStr">
        <is>
          <t>Derived financial aggregate or balance for operational or analytical use.</t>
        </is>
      </c>
      <c r="H13" s="59" t="inlineStr">
        <is>
          <t>SUM([Related Loans][Total Interest Received])</t>
        </is>
      </c>
    </row>
    <row r="14" ht="15" customHeight="1">
      <c r="A14" s="57" t="inlineStr">
        <is>
          <t>Borrowers</t>
        </is>
      </c>
      <c r="B14" s="57" t="n">
        <v>10</v>
      </c>
      <c r="C14" s="59" t="inlineStr">
        <is>
          <t>Total Amount Loaned</t>
        </is>
      </c>
      <c r="D14" s="59" t="inlineStr">
        <is>
          <t>VC / Price</t>
        </is>
      </c>
      <c r="E14" s="57" t="inlineStr">
        <is>
          <t>OLTP + OLAP</t>
        </is>
      </c>
      <c r="F14" s="57" t="inlineStr">
        <is>
          <t>-</t>
        </is>
      </c>
      <c r="G14" s="59" t="inlineStr">
        <is>
          <t>Derived financial aggregate or balance for operational or analytical use.</t>
        </is>
      </c>
      <c r="H14" s="59" t="inlineStr">
        <is>
          <t>SUM([Related Loans][Principal Amount])</t>
        </is>
      </c>
    </row>
    <row r="15" ht="15" customHeight="1">
      <c r="A15" s="57" t="inlineStr">
        <is>
          <t>Borrowers</t>
        </is>
      </c>
      <c r="B15" s="57" t="n">
        <v>11</v>
      </c>
      <c r="C15" s="59" t="inlineStr">
        <is>
          <t>Total Number of Loans</t>
        </is>
      </c>
      <c r="D15" s="59" t="inlineStr">
        <is>
          <t>VC / Number</t>
        </is>
      </c>
      <c r="E15" s="57" t="inlineStr">
        <is>
          <t>OLTP + OLAP</t>
        </is>
      </c>
      <c r="F15" s="57" t="inlineStr">
        <is>
          <t>-</t>
        </is>
      </c>
      <c r="G15" s="59" t="inlineStr">
        <is>
          <t>Derived count used for workload, portfolio, or risk analysis.</t>
        </is>
      </c>
      <c r="H15" s="59" t="inlineStr">
        <is>
          <t>COUNT([Related Loans])</t>
        </is>
      </c>
    </row>
    <row r="16" ht="15" customHeight="1">
      <c r="A16" s="57" t="inlineStr">
        <is>
          <t>Borrowers</t>
        </is>
      </c>
      <c r="B16" s="57" t="n">
        <v>12</v>
      </c>
      <c r="C16" s="59" t="inlineStr">
        <is>
          <t>Total Outstanding Principal</t>
        </is>
      </c>
      <c r="D16" s="59" t="inlineStr">
        <is>
          <t>VC / Price</t>
        </is>
      </c>
      <c r="E16" s="57" t="inlineStr">
        <is>
          <t>OLTP + OLAP</t>
        </is>
      </c>
      <c r="F16" s="57" t="inlineStr">
        <is>
          <t>-</t>
        </is>
      </c>
      <c r="G16" s="59" t="inlineStr">
        <is>
          <t>Derived financial aggregate or balance for operational or analytical use.</t>
        </is>
      </c>
      <c r="H16" s="59" t="inlineStr">
        <is>
          <t>SUM([Related Loans][Outstanding Principal])</t>
        </is>
      </c>
    </row>
    <row r="17" ht="15" customHeight="1">
      <c r="A17" s="57" t="inlineStr">
        <is>
          <t>Borrowers</t>
        </is>
      </c>
      <c r="B17" s="57" t="n">
        <v>13</v>
      </c>
      <c r="C17" s="59" t="inlineStr">
        <is>
          <t>Header - Active Loans</t>
        </is>
      </c>
      <c r="D17" s="59" t="inlineStr">
        <is>
          <t>VC / Text</t>
        </is>
      </c>
      <c r="E17" s="57" t="inlineStr">
        <is>
          <t>OLTP + OLAP</t>
        </is>
      </c>
      <c r="F17" s="57" t="inlineStr">
        <is>
          <t>-</t>
        </is>
      </c>
      <c r="G17" s="59" t="inlineStr">
        <is>
          <t>Presentation-oriented label or bilingual display value.</t>
        </is>
      </c>
      <c r="H17" s="59" t="inlineStr">
        <is>
          <t>"──── เงินกู้ที่ยังไม่ปิด / Active Loans ────"</t>
        </is>
      </c>
    </row>
    <row r="18" ht="43.20000076293945" customHeight="1">
      <c r="A18" s="57" t="inlineStr">
        <is>
          <t>Borrowers</t>
        </is>
      </c>
      <c r="B18" s="57" t="n">
        <v>14</v>
      </c>
      <c r="C18" s="59" t="inlineStr">
        <is>
          <t>Borrower Name TE</t>
        </is>
      </c>
      <c r="D18" s="59" t="inlineStr">
        <is>
          <t>VC / Text</t>
        </is>
      </c>
      <c r="E18" s="57" t="inlineStr">
        <is>
          <t>OLTP + OLAP</t>
        </is>
      </c>
      <c r="F18" s="57" t="inlineStr">
        <is>
          <t>Label</t>
        </is>
      </c>
      <c r="G18" s="59" t="inlineStr">
        <is>
          <t>Presentation-oriented label or bilingual display value.</t>
        </is>
      </c>
      <c r="H18" s="59" t="inlineStr">
        <is>
          <t>CONCATENATE([Borrower Name], " - ", [Description])</t>
        </is>
      </c>
    </row>
    <row r="19" ht="21.60000038146973" customHeight="1">
      <c r="A19" s="57" t="inlineStr">
        <is>
          <t>Borrowers</t>
        </is>
      </c>
      <c r="B19" s="57" t="n">
        <v>15</v>
      </c>
      <c r="C19" s="59" t="inlineStr">
        <is>
          <t>Return on Active Principal</t>
        </is>
      </c>
      <c r="D19" s="59" t="inlineStr">
        <is>
          <t>VC / Percent</t>
        </is>
      </c>
      <c r="E19" s="57" t="inlineStr">
        <is>
          <t>OLTP + OLAP</t>
        </is>
      </c>
      <c r="F19" s="57" t="inlineStr">
        <is>
          <t>-</t>
        </is>
      </c>
      <c r="G19" s="59" t="inlineStr">
        <is>
          <t>Derived ratio or performance measure calculated from governed source values.</t>
        </is>
      </c>
      <c r="H19" s="59" t="inlineStr">
        <is>
          <t>IF([Total Outstanding Principal] &gt; 0, [Active Loan Interest Earned] / [Total Outstanding Principal], 0)</t>
        </is>
      </c>
    </row>
    <row r="20" ht="15" customHeight="1">
      <c r="A20" s="57" t="inlineStr">
        <is>
          <t>Borrowers</t>
        </is>
      </c>
      <c r="B20" s="57" t="n">
        <v>16</v>
      </c>
      <c r="C20" s="59" t="inlineStr">
        <is>
          <t>Profit Last 30 Days</t>
        </is>
      </c>
      <c r="D20" s="59" t="inlineStr">
        <is>
          <t>VC / Price</t>
        </is>
      </c>
      <c r="E20" s="57" t="inlineStr">
        <is>
          <t>OLAP only</t>
        </is>
      </c>
      <c r="F20" s="57" t="inlineStr">
        <is>
          <t>-</t>
        </is>
      </c>
      <c r="G20" s="59" t="inlineStr">
        <is>
          <t>Derived date, time-window, age, or delinquency measure.</t>
        </is>
      </c>
      <c r="H20" s="59" t="inlineStr">
        <is>
          <t>SUM( SELECT( Repayments[Interest Paid], AND( [Ref Loans].[Ref Borrowers] = [_THISROW].[Row ID], [Payment Date] &gt;= TODAY() - 29, [Payment Date] &lt;= TODAY(), [Interest Paid] &gt; 0 ) ))</t>
        </is>
      </c>
    </row>
    <row r="21" ht="21.60000038146973" customHeight="1">
      <c r="A21" s="57" t="inlineStr">
        <is>
          <t>Borrowers</t>
        </is>
      </c>
      <c r="B21" s="57" t="n">
        <v>17</v>
      </c>
      <c r="C21" s="59" t="inlineStr">
        <is>
          <t>Active Loan Interest Earned</t>
        </is>
      </c>
      <c r="D21" s="59" t="inlineStr">
        <is>
          <t>VC / Price</t>
        </is>
      </c>
      <c r="E21" s="57" t="inlineStr">
        <is>
          <t>OLTP + OLAP</t>
        </is>
      </c>
      <c r="F21" s="57" t="inlineStr">
        <is>
          <t>-</t>
        </is>
      </c>
      <c r="G21" s="59" t="inlineStr">
        <is>
          <t>Derived financial aggregate or balance for operational or analytical use.</t>
        </is>
      </c>
      <c r="H21" s="59" t="inlineStr">
        <is>
          <t>SUM( SELECT( Loans[Total Interest Received], AND([Ref Borrowers] = [_THISROW].[Row ID], [Loan Status] = "ยังไม่ปิดยอด") ))</t>
        </is>
      </c>
    </row>
    <row r="22" ht="32.40000152587891" customHeight="1">
      <c r="A22" s="57" t="inlineStr">
        <is>
          <t>Borrowers</t>
        </is>
      </c>
      <c r="B22" s="57" t="n">
        <v>18</v>
      </c>
      <c r="C22" s="59" t="inlineStr">
        <is>
          <t>Active Daily Interest</t>
        </is>
      </c>
      <c r="D22" s="59" t="inlineStr">
        <is>
          <t>VC / Price</t>
        </is>
      </c>
      <c r="E22" s="57" t="inlineStr">
        <is>
          <t>OLTP + OLAP</t>
        </is>
      </c>
      <c r="F22" s="57" t="inlineStr">
        <is>
          <t>App formula variance</t>
        </is>
      </c>
      <c r="G22" s="59" t="inlineStr">
        <is>
          <t>Derived financial aggregate or balance for operational or analytical use.</t>
        </is>
      </c>
      <c r="H22" s="59" t="inlineStr">
        <is>
          <t>OLTP: SUM(SELECT(Loans[Expected Daily Interest Amount], [Ref Borrowers] = [_THISROW].[Row ID]))
OLAP: SUM( SELECT( Loans[Current Daily Interest], AND( [Ref Borrowers] = [_THISROW].[Row ID], [Loan Status] = "ยังไม่ปิดยอด", [Loan Type] = "ดอกเบี้ยรายวัน" ) ))</t>
        </is>
      </c>
    </row>
    <row r="23" ht="15" customHeight="1">
      <c r="A23" s="57" t="inlineStr">
        <is>
          <t>Borrowers</t>
        </is>
      </c>
      <c r="B23" s="57" t="n">
        <v>19</v>
      </c>
      <c r="C23" s="59" t="inlineStr">
        <is>
          <t>Projected Interest Coverage Date</t>
        </is>
      </c>
      <c r="D23" s="59" t="inlineStr">
        <is>
          <t>VC / Date</t>
        </is>
      </c>
      <c r="E23" s="57" t="inlineStr">
        <is>
          <t>OLTP + OLAP</t>
        </is>
      </c>
      <c r="F23" s="57" t="inlineStr">
        <is>
          <t>-</t>
        </is>
      </c>
      <c r="G23" s="59" t="inlineStr">
        <is>
          <t>Derived ratio or performance measure calculated from governed source values.</t>
        </is>
      </c>
      <c r="H23" s="59" t="inlineStr">
        <is>
          <t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t>
        </is>
      </c>
    </row>
    <row r="24" ht="15" customHeight="1">
      <c r="A24" s="57" t="inlineStr">
        <is>
          <t>Borrowers</t>
        </is>
      </c>
      <c r="B24" s="57" t="n">
        <v>20</v>
      </c>
      <c r="C24" s="59" t="inlineStr">
        <is>
          <t>Related Loan Assessments</t>
        </is>
      </c>
      <c r="D24" s="59" t="inlineStr">
        <is>
          <t>VC / List</t>
        </is>
      </c>
      <c r="E24" s="57" t="inlineStr">
        <is>
          <t>OLAP only</t>
        </is>
      </c>
      <c r="F24" s="57" t="inlineStr">
        <is>
          <t>-</t>
        </is>
      </c>
      <c r="G24" s="59" t="inlineStr">
        <is>
          <t>Reverse-reference list of child rows that point to this record.</t>
        </is>
      </c>
      <c r="H24" s="59" t="inlineStr">
        <is>
          <t>REF_ROWS("Loan Assessment", "Ref Borrower")</t>
        </is>
      </c>
    </row>
    <row r="25" ht="15" customHeight="1">
      <c r="A25" s="57" t="inlineStr">
        <is>
          <t>Borrowers</t>
        </is>
      </c>
      <c r="B25" s="57" t="n">
        <v>21</v>
      </c>
      <c r="C25" s="59" t="inlineStr">
        <is>
          <t>Related Calendars</t>
        </is>
      </c>
      <c r="D25" s="59" t="inlineStr">
        <is>
          <t>VC / List</t>
        </is>
      </c>
      <c r="E25" s="57" t="inlineStr">
        <is>
          <t>OLAP only</t>
        </is>
      </c>
      <c r="F25" s="57" t="inlineStr">
        <is>
          <t>-</t>
        </is>
      </c>
      <c r="G25" s="59" t="inlineStr">
        <is>
          <t>Reverse-reference list of child rows that point to this record.</t>
        </is>
      </c>
      <c r="H25" s="59" t="inlineStr">
        <is>
          <t>REF_ROWS("Calendar", "Assessment Borrower")</t>
        </is>
      </c>
    </row>
    <row r="26" ht="15" customHeight="1">
      <c r="A26" s="57" t="inlineStr">
        <is>
          <t>Borrowers</t>
        </is>
      </c>
      <c r="B26" s="57" t="n">
        <v>22</v>
      </c>
      <c r="C26" s="59" t="inlineStr">
        <is>
          <t>Closed Loan Interest Earned</t>
        </is>
      </c>
      <c r="D26" s="59" t="inlineStr">
        <is>
          <t>VC / Price</t>
        </is>
      </c>
      <c r="E26" s="57" t="inlineStr">
        <is>
          <t>OLTP + OLAP</t>
        </is>
      </c>
      <c r="F26" s="57" t="inlineStr">
        <is>
          <t>-</t>
        </is>
      </c>
      <c r="G26" s="59" t="inlineStr">
        <is>
          <t>Derived financial aggregate or balance for operational or analytical use.</t>
        </is>
      </c>
      <c r="H26" s="59" t="inlineStr">
        <is>
          <t>[Total Interest Earned] - [Active Loan Interest Earned]</t>
        </is>
      </c>
    </row>
    <row r="27" ht="15" customHeight="1">
      <c r="A27" s="57" t="inlineStr">
        <is>
          <t>Borrowers</t>
        </is>
      </c>
      <c r="B27" s="57" t="n">
        <v>23</v>
      </c>
      <c r="C27" s="59" t="inlineStr">
        <is>
          <t>Closed Loan Principle</t>
        </is>
      </c>
      <c r="D27" s="59" t="inlineStr">
        <is>
          <t>VC / Price</t>
        </is>
      </c>
      <c r="E27" s="57" t="inlineStr">
        <is>
          <t>OLTP + OLAP</t>
        </is>
      </c>
      <c r="F27" s="57" t="inlineStr">
        <is>
          <t>-</t>
        </is>
      </c>
      <c r="G27" s="59" t="inlineStr">
        <is>
          <t>Derived AppSheet value used by the app workflow, presentation, or reporting model.</t>
        </is>
      </c>
      <c r="H27" s="59" t="inlineStr">
        <is>
          <t>[Total Amount Loaned] - [Total Outstanding Principal]</t>
        </is>
      </c>
    </row>
    <row r="28" ht="15" customHeight="1">
      <c r="A28" s="57" t="inlineStr">
        <is>
          <t>Borrowers</t>
        </is>
      </c>
      <c r="B28" s="57" t="n">
        <v>24</v>
      </c>
      <c r="C28" s="59" t="inlineStr">
        <is>
          <t>Has Closed Loan</t>
        </is>
      </c>
      <c r="D28" s="59" t="inlineStr">
        <is>
          <t>VC / Yes/No</t>
        </is>
      </c>
      <c r="E28" s="57" t="inlineStr">
        <is>
          <t>OLTP + OLAP</t>
        </is>
      </c>
      <c r="F28" s="57" t="inlineStr">
        <is>
          <t>-</t>
        </is>
      </c>
      <c r="G28" s="59" t="inlineStr">
        <is>
          <t>Derived business-state or risk indicator.</t>
        </is>
      </c>
      <c r="H28" s="59" t="inlineStr">
        <is>
          <t>COUNT(SELECT([Related Loans][Row ID], [Loan Status] = "ปิดยอดแล้ว")) &gt; 0</t>
        </is>
      </c>
    </row>
    <row r="29" ht="15" customHeight="1">
      <c r="A29" s="57" t="inlineStr">
        <is>
          <t>Borrowers</t>
        </is>
      </c>
      <c r="B29" s="57" t="n">
        <v>25</v>
      </c>
      <c r="C29" s="59" t="inlineStr">
        <is>
          <t>Return on Closed Loans</t>
        </is>
      </c>
      <c r="D29" s="59" t="inlineStr">
        <is>
          <t>VC / Percent</t>
        </is>
      </c>
      <c r="E29" s="57" t="inlineStr">
        <is>
          <t>OLTP + OLAP</t>
        </is>
      </c>
      <c r="F29" s="57" t="inlineStr">
        <is>
          <t>-</t>
        </is>
      </c>
      <c r="G29" s="59" t="inlineStr">
        <is>
          <t>Derived ratio or performance measure calculated from governed source values.</t>
        </is>
      </c>
      <c r="H29" s="59" t="inlineStr">
        <is>
          <t>IF( AND([Has Closed Loan], [Closed Loan Principle] &gt; 0), [Closed Loan Interest Earned] / [Closed Loan Principle], 0)</t>
        </is>
      </c>
    </row>
    <row r="30" ht="15" customHeight="1">
      <c r="A30" s="57" t="inlineStr">
        <is>
          <t>Borrowers</t>
        </is>
      </c>
      <c r="B30" s="57" t="n">
        <v>26</v>
      </c>
      <c r="C30" s="59" t="inlineStr">
        <is>
          <t>Header - Closed Loans</t>
        </is>
      </c>
      <c r="D30" s="59" t="inlineStr">
        <is>
          <t>VC / Text</t>
        </is>
      </c>
      <c r="E30" s="57" t="inlineStr">
        <is>
          <t>OLTP + OLAP</t>
        </is>
      </c>
      <c r="F30" s="57" t="inlineStr">
        <is>
          <t>-</t>
        </is>
      </c>
      <c r="G30" s="59" t="inlineStr">
        <is>
          <t>Presentation-oriented label or bilingual display value.</t>
        </is>
      </c>
      <c r="H30" s="59" t="inlineStr">
        <is>
          <t>"──── เงินกู้ที่ปิดแล้ว / Closed Loans ────"</t>
        </is>
      </c>
    </row>
    <row r="31" ht="15" customHeight="1">
      <c r="A31" s="57" t="inlineStr">
        <is>
          <t>Borrowers</t>
        </is>
      </c>
      <c r="B31" s="57" t="n">
        <v>27</v>
      </c>
      <c r="C31" s="59" t="inlineStr">
        <is>
          <t>Has Active Loan</t>
        </is>
      </c>
      <c r="D31" s="59" t="inlineStr">
        <is>
          <t>VC / Yes/No</t>
        </is>
      </c>
      <c r="E31" s="57" t="inlineStr">
        <is>
          <t>OLTP + OLAP</t>
        </is>
      </c>
      <c r="F31" s="57" t="inlineStr">
        <is>
          <t>-</t>
        </is>
      </c>
      <c r="G31" s="59" t="inlineStr">
        <is>
          <t>Derived business-state or risk indicator.</t>
        </is>
      </c>
      <c r="H31" s="59" t="inlineStr">
        <is>
          <t>COUNT(SELECT([Related Loans][Row ID], [Loan Status] = "ยังไม่ปิดยอด")) &gt; 0</t>
        </is>
      </c>
    </row>
    <row r="32" ht="15" customHeight="1">
      <c r="A32" s="57" t="inlineStr">
        <is>
          <t>Borrowers</t>
        </is>
      </c>
      <c r="B32" s="57" t="n">
        <v>28</v>
      </c>
      <c r="C32" s="59" t="inlineStr">
        <is>
          <t>30D Gross Principal Days</t>
        </is>
      </c>
      <c r="D32" s="59" t="inlineStr">
        <is>
          <t>VC / Decimal</t>
        </is>
      </c>
      <c r="E32" s="57" t="inlineStr">
        <is>
          <t>OLAP only</t>
        </is>
      </c>
      <c r="F32" s="57" t="inlineStr">
        <is>
          <t>-</t>
        </is>
      </c>
      <c r="G32" s="59" t="inlineStr">
        <is>
          <t>Derived date, time-window, age, or delinquency measure.</t>
        </is>
      </c>
      <c r="H32" s="59" t="inlineStr">
        <is>
          <t>SUM( SELECT( Loans[30D Principal Days], [Ref Borrowers] = [_THISROW].[Row ID] ))</t>
        </is>
      </c>
    </row>
    <row r="33" ht="15" customHeight="1">
      <c r="A33" s="57" t="inlineStr">
        <is>
          <t>Borrowers</t>
        </is>
      </c>
      <c r="B33" s="57" t="n">
        <v>29</v>
      </c>
      <c r="C33" s="59" t="inlineStr">
        <is>
          <t>30D Principal Reduction Days</t>
        </is>
      </c>
      <c r="D33" s="59" t="inlineStr">
        <is>
          <t>VC / Decimal</t>
        </is>
      </c>
      <c r="E33" s="57" t="inlineStr">
        <is>
          <t>OLAP only</t>
        </is>
      </c>
      <c r="F33" s="57" t="inlineStr">
        <is>
          <t>-</t>
        </is>
      </c>
      <c r="G33" s="59" t="inlineStr">
        <is>
          <t>Derived date, time-window, age, or delinquency measure.</t>
        </is>
      </c>
      <c r="H33" s="59" t="inlineStr">
        <is>
          <t>SUM( SELECT( Repayments[30D Principal Reduction Days], [Ref Loans].[Ref Borrowers] = [_THISROW].[Row ID] ))</t>
        </is>
      </c>
    </row>
    <row r="34" ht="15" customHeight="1">
      <c r="A34" s="57" t="inlineStr">
        <is>
          <t>Borrowers</t>
        </is>
      </c>
      <c r="B34" s="57" t="n">
        <v>30</v>
      </c>
      <c r="C34" s="59" t="inlineStr">
        <is>
          <t>30D Average Outstanding Principal</t>
        </is>
      </c>
      <c r="D34" s="59" t="inlineStr">
        <is>
          <t>VC / Decimal</t>
        </is>
      </c>
      <c r="E34" s="57" t="inlineStr">
        <is>
          <t>OLAP only</t>
        </is>
      </c>
      <c r="F34" s="57" t="inlineStr">
        <is>
          <t>-</t>
        </is>
      </c>
      <c r="G34" s="59" t="inlineStr">
        <is>
          <t>Derived date, time-window, age, or delinquency measure.</t>
        </is>
      </c>
      <c r="H34" s="59" t="inlineStr">
        <is>
          <t>( [30D Gross Principal Days] - [30D Principal Reduction Days] ) / 30</t>
        </is>
      </c>
    </row>
    <row r="35" ht="75.59999847412109" customHeight="1">
      <c r="A35" s="57" t="inlineStr">
        <is>
          <t>Borrowers</t>
        </is>
      </c>
      <c r="B35" s="57" t="n">
        <v>31</v>
      </c>
      <c r="C35" s="59" t="inlineStr">
        <is>
          <t>30D Return on Average Principal</t>
        </is>
      </c>
      <c r="D35" s="59" t="inlineStr">
        <is>
          <t>VC / Percent</t>
        </is>
      </c>
      <c r="E35" s="57" t="inlineStr">
        <is>
          <t>OLAP only</t>
        </is>
      </c>
      <c r="F35" s="57" t="inlineStr">
        <is>
          <t>-</t>
        </is>
      </c>
      <c r="G35" s="59" t="inlineStr">
        <is>
          <t>Derived ratio or performance measure calculated from governed source values.</t>
        </is>
      </c>
      <c r="H35" s="59" t="inlineStr">
        <is>
          <t>IF( [30D Average Outstanding Principal] &gt; 0, [Profit Last 30 Days] / [30D Average Outstanding Principal], 0)</t>
        </is>
      </c>
    </row>
    <row r="36" ht="21.60000038146973" customHeight="1">
      <c r="A36" s="57" t="inlineStr">
        <is>
          <t>Borrowers</t>
        </is>
      </c>
      <c r="B36" s="57" t="n">
        <v>32</v>
      </c>
      <c r="C36" s="59" t="inlineStr">
        <is>
          <t>Daily Collection Status</t>
        </is>
      </c>
      <c r="D36" s="59" t="inlineStr">
        <is>
          <t>VC / Text</t>
        </is>
      </c>
      <c r="E36" s="57" t="inlineStr">
        <is>
          <t>OLTP + OLAP</t>
        </is>
      </c>
      <c r="F36" s="57" t="inlineStr">
        <is>
          <t>-</t>
        </is>
      </c>
      <c r="G36" s="59" t="inlineStr">
        <is>
          <t>Derived business-state or risk indicator.</t>
        </is>
      </c>
      <c r="H36" s="59" t="inlineStr">
        <is>
          <t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t>
        </is>
      </c>
    </row>
    <row r="37" ht="15" customHeight="1">
      <c r="A37" s="57" t="inlineStr">
        <is>
          <t>Borrowers</t>
        </is>
      </c>
      <c r="B37" s="57" t="n">
        <v>33</v>
      </c>
      <c r="C37" s="59" t="inlineStr">
        <is>
          <t>Todays Collection Charges</t>
        </is>
      </c>
      <c r="D37" s="59" t="inlineStr">
        <is>
          <t>VC / List</t>
        </is>
      </c>
      <c r="E37" s="57" t="inlineStr">
        <is>
          <t>OLTP + OLAP</t>
        </is>
      </c>
      <c r="F37" s="57" t="inlineStr">
        <is>
          <t>-</t>
        </is>
      </c>
      <c r="G37" s="59" t="inlineStr">
        <is>
          <t>Derived date, time-window, age, or delinquency measure.</t>
        </is>
      </c>
      <c r="H37" s="59" t="inlineStr">
        <is>
          <t>SELECT( Charges[Row ID], AND( [Ref Loans].[Ref Borrowers] = [_THISROW].[Row ID], OR( AND( [Payment Status] &lt;&gt; "ชำระแล้ว", [Charge Date] &lt;= TODAY() ), AND( [Payment Status] = "ชำระแล้ว", [Payment Date] = TODAY() ) ) ))</t>
        </is>
      </c>
    </row>
    <row r="38" ht="15" customHeight="1">
      <c r="A38" s="57" t="inlineStr">
        <is>
          <t>Borrowers</t>
        </is>
      </c>
      <c r="B38" s="57" t="n">
        <v>34</v>
      </c>
      <c r="C38" s="59" t="inlineStr">
        <is>
          <t>Todays Amount Due</t>
        </is>
      </c>
      <c r="D38" s="59" t="inlineStr">
        <is>
          <t>VC / Price</t>
        </is>
      </c>
      <c r="E38" s="57" t="inlineStr">
        <is>
          <t>OLTP + OLAP</t>
        </is>
      </c>
      <c r="F38" s="57" t="inlineStr">
        <is>
          <t>-</t>
        </is>
      </c>
      <c r="G38" s="59" t="inlineStr">
        <is>
          <t>Derived date, time-window, age, or delinquency measure.</t>
        </is>
      </c>
      <c r="H38" s="59" t="inlineStr">
        <is>
          <t>SUM([Todays Collection Charges][Amount Due])</t>
        </is>
      </c>
    </row>
    <row r="39" ht="15" customHeight="1">
      <c r="A39" s="57" t="inlineStr">
        <is>
          <t>Borrowers</t>
        </is>
      </c>
      <c r="B39" s="57" t="n">
        <v>35</v>
      </c>
      <c r="C39" s="59" t="inlineStr">
        <is>
          <t>Todays Amount Collected</t>
        </is>
      </c>
      <c r="D39" s="59" t="inlineStr">
        <is>
          <t>VC / Price</t>
        </is>
      </c>
      <c r="E39" s="57" t="inlineStr">
        <is>
          <t>OLTP + OLAP</t>
        </is>
      </c>
      <c r="F39" s="57" t="inlineStr">
        <is>
          <t>-</t>
        </is>
      </c>
      <c r="G39" s="59" t="inlineStr">
        <is>
          <t>Derived date, time-window, age, or delinquency measure.</t>
        </is>
      </c>
      <c r="H39" s="59" t="inlineStr">
        <is>
          <t>SUM([Todays Collection Charges][Total Paid])</t>
        </is>
      </c>
    </row>
    <row r="40" ht="21.60000038146973" customHeight="1">
      <c r="A40" s="57" t="inlineStr">
        <is>
          <t>Borrowers</t>
        </is>
      </c>
      <c r="B40" s="57" t="n">
        <v>36</v>
      </c>
      <c r="C40" s="59" t="inlineStr">
        <is>
          <t>Todays Amount Remaining</t>
        </is>
      </c>
      <c r="D40" s="59" t="inlineStr">
        <is>
          <t>VC / Price</t>
        </is>
      </c>
      <c r="E40" s="57" t="inlineStr">
        <is>
          <t>OLTP + OLAP</t>
        </is>
      </c>
      <c r="F40" s="57" t="inlineStr">
        <is>
          <t>-</t>
        </is>
      </c>
      <c r="G40" s="59" t="inlineStr">
        <is>
          <t>Derived date, time-window, age, or delinquency measure.</t>
        </is>
      </c>
      <c r="H40" s="59" t="inlineStr">
        <is>
          <t>SUM([Todays Collection Charges][Amount Remaining])</t>
        </is>
      </c>
    </row>
    <row r="41" ht="15" customHeight="1">
      <c r="A41" s="57" t="inlineStr">
        <is>
          <t>Borrowers</t>
        </is>
      </c>
      <c r="B41" s="57" t="n">
        <v>37</v>
      </c>
      <c r="C41" s="59" t="inlineStr">
        <is>
          <t>Portfolio Exposure %</t>
        </is>
      </c>
      <c r="D41" s="59" t="inlineStr">
        <is>
          <t>VC / Percent</t>
        </is>
      </c>
      <c r="E41" s="57" t="inlineStr">
        <is>
          <t>OLAP only</t>
        </is>
      </c>
      <c r="F41" s="57" t="inlineStr">
        <is>
          <t>-</t>
        </is>
      </c>
      <c r="G41" s="59" t="inlineStr">
        <is>
          <t>Derived ratio or performance measure calculated from governed source values.</t>
        </is>
      </c>
      <c r="H41" s="59" t="inlineStr">
        <is>
          <t>IF( SUM(Borrowers[Total Outstanding Principal]) = 0, 0, [Total Outstanding Principal] / SUM(Borrowers[Total Outstanding Principal]))</t>
        </is>
      </c>
    </row>
    <row r="42" ht="15" customHeight="1">
      <c r="A42" s="57" t="inlineStr">
        <is>
          <t>Borrowers</t>
        </is>
      </c>
      <c r="B42" s="57" t="n">
        <v>38</v>
      </c>
      <c r="C42" s="59" t="inlineStr">
        <is>
          <t>Active Loan Count</t>
        </is>
      </c>
      <c r="D42" s="59" t="inlineStr">
        <is>
          <t>VC / Number</t>
        </is>
      </c>
      <c r="E42" s="57" t="inlineStr">
        <is>
          <t>OLAP only</t>
        </is>
      </c>
      <c r="F42" s="57" t="inlineStr">
        <is>
          <t>-</t>
        </is>
      </c>
      <c r="G42" s="59" t="inlineStr">
        <is>
          <t>Derived count used for workload, portfolio, or risk analysis.</t>
        </is>
      </c>
      <c r="H42" s="59" t="inlineStr">
        <is>
          <t>COUNT( SELECT( Loans[Row ID], AND([Ref Borrowers] = [_THISROW].[Row ID], [Loan Status] = "ยังไม่ปิดยอด") ))</t>
        </is>
      </c>
    </row>
    <row r="43" ht="21.60000038146973" customHeight="1">
      <c r="A43" s="57" t="inlineStr">
        <is>
          <t>Borrowers</t>
        </is>
      </c>
      <c r="B43" s="57" t="n">
        <v>39</v>
      </c>
      <c r="C43" s="59" t="inlineStr">
        <is>
          <t>Oldest Active Loan Age</t>
        </is>
      </c>
      <c r="D43" s="59" t="inlineStr">
        <is>
          <t>VC / Number</t>
        </is>
      </c>
      <c r="E43" s="57" t="inlineStr">
        <is>
          <t>OLAP only</t>
        </is>
      </c>
      <c r="F43" s="57" t="inlineStr">
        <is>
          <t>-</t>
        </is>
      </c>
      <c r="G43" s="59" t="inlineStr">
        <is>
          <t>Derived date, time-window, age, or delinquency measure.</t>
        </is>
      </c>
      <c r="H43" s="59" t="inlineStr">
        <is>
          <t>MAX( SELECT( Loans[Loan Age Days], AND([Ref Borrowers] = [_THISROW].[Row ID], [Loan Status] = "ยังไม่ปิดยอด") ))</t>
        </is>
      </c>
    </row>
    <row r="44" ht="21.60000038146973" customHeight="1">
      <c r="A44" s="57" t="inlineStr">
        <is>
          <t>Borrowers</t>
        </is>
      </c>
      <c r="B44" s="57" t="n">
        <v>40</v>
      </c>
      <c r="C44" s="59" t="inlineStr">
        <is>
          <t>Overdue Amount</t>
        </is>
      </c>
      <c r="D44" s="59" t="inlineStr">
        <is>
          <t>VC / Price</t>
        </is>
      </c>
      <c r="E44" s="57" t="inlineStr">
        <is>
          <t>OLAP only</t>
        </is>
      </c>
      <c r="F44" s="57" t="inlineStr">
        <is>
          <t>-</t>
        </is>
      </c>
      <c r="G44" s="59" t="inlineStr">
        <is>
          <t>Derived financial aggregate or balance for operational or analytical use.</t>
        </is>
      </c>
      <c r="H44" s="59" t="inlineStr">
        <is>
          <t>SUM( SELECT( Charges[Amount Remaining], AND( [Ref Loans].[Ref Borrowers] = [_THISROW].[Row ID], [Charge Date] &lt; TODAY(), [Payment Status] &lt;&gt; "ชำระแล้ว" ) ))</t>
        </is>
      </c>
    </row>
    <row r="45" ht="15" customHeight="1">
      <c r="A45" s="57" t="inlineStr">
        <is>
          <t>Borrowers</t>
        </is>
      </c>
      <c r="B45" s="57" t="n">
        <v>41</v>
      </c>
      <c r="C45" s="59" t="inlineStr">
        <is>
          <t>Overdue Charge Count</t>
        </is>
      </c>
      <c r="D45" s="59" t="inlineStr">
        <is>
          <t>VC / Number</t>
        </is>
      </c>
      <c r="E45" s="57" t="inlineStr">
        <is>
          <t>OLAP only</t>
        </is>
      </c>
      <c r="F45" s="57" t="inlineStr">
        <is>
          <t>-</t>
        </is>
      </c>
      <c r="G45" s="59" t="inlineStr">
        <is>
          <t>Derived count used for workload, portfolio, or risk analysis.</t>
        </is>
      </c>
      <c r="H45" s="59" t="inlineStr">
        <is>
          <t>COUNT( SELECT( Charges[Row ID], AND( [Ref Loans].[Ref Borrowers] = [_THISROW].[Row ID], [Charge Date] &lt; TODAY(), [Payment Status] &lt;&gt; "ชำระแล้ว" ) ))</t>
        </is>
      </c>
    </row>
    <row r="46" ht="15" customHeight="1">
      <c r="A46" s="57" t="inlineStr">
        <is>
          <t>Borrowers</t>
        </is>
      </c>
      <c r="B46" s="57" t="n">
        <v>42</v>
      </c>
      <c r="C46" s="59" t="inlineStr">
        <is>
          <t>Historical Charge Count</t>
        </is>
      </c>
      <c r="D46" s="59" t="inlineStr">
        <is>
          <t>VC / Number</t>
        </is>
      </c>
      <c r="E46" s="57" t="inlineStr">
        <is>
          <t>OLAP only</t>
        </is>
      </c>
      <c r="F46" s="57" t="inlineStr">
        <is>
          <t>-</t>
        </is>
      </c>
      <c r="G46" s="59" t="inlineStr">
        <is>
          <t>Derived count used for workload, portfolio, or risk analysis.</t>
        </is>
      </c>
      <c r="H46" s="59" t="inlineStr">
        <is>
          <t>COUNT(SELECT(Charges[Row ID], AND([Ref Loans].[Ref Borrowers] = [_THISROW].[Row ID], [Charge Date] &lt; TODAY())))</t>
        </is>
      </c>
    </row>
    <row r="47" ht="15" customHeight="1">
      <c r="A47" s="57" t="inlineStr">
        <is>
          <t>Borrowers</t>
        </is>
      </c>
      <c r="B47" s="57" t="n">
        <v>43</v>
      </c>
      <c r="C47" s="59" t="inlineStr">
        <is>
          <t>On Time Charge Count</t>
        </is>
      </c>
      <c r="D47" s="59" t="inlineStr">
        <is>
          <t>VC / Number</t>
        </is>
      </c>
      <c r="E47" s="57" t="inlineStr">
        <is>
          <t>OLAP only</t>
        </is>
      </c>
      <c r="F47" s="57" t="inlineStr">
        <is>
          <t>-</t>
        </is>
      </c>
      <c r="G47" s="59" t="inlineStr">
        <is>
          <t>Derived count used for workload, portfolio, or risk analysis.</t>
        </is>
      </c>
      <c r="H47" s="59" t="inlineStr">
        <is>
          <t>COUNT(SELECT(Charges[Row ID], AND([Ref Loans].[Ref Borrowers] = [_THISROW].[Row ID], [Historical On Time] = TRUE)))</t>
        </is>
      </c>
    </row>
    <row r="48" ht="21.60000038146973" customHeight="1">
      <c r="A48" s="57" t="inlineStr">
        <is>
          <t>Borrowers</t>
        </is>
      </c>
      <c r="B48" s="57" t="n">
        <v>44</v>
      </c>
      <c r="C48" s="59" t="inlineStr">
        <is>
          <t>Lifetime On Time Rate</t>
        </is>
      </c>
      <c r="D48" s="59" t="inlineStr">
        <is>
          <t>VC / Percent</t>
        </is>
      </c>
      <c r="E48" s="57" t="inlineStr">
        <is>
          <t>OLAP only</t>
        </is>
      </c>
      <c r="F48" s="57" t="inlineStr">
        <is>
          <t>-</t>
        </is>
      </c>
      <c r="G48" s="59" t="inlineStr">
        <is>
          <t>Derived ratio or performance measure calculated from governed source values.</t>
        </is>
      </c>
      <c r="H48" s="59" t="inlineStr">
        <is>
          <t>IF([Historical Charge Count] = 0, 0, [On Time Charge Count] / [Historical Charge Count])</t>
        </is>
      </c>
    </row>
    <row r="49" ht="21.60000038146973" customHeight="1">
      <c r="A49" s="57" t="inlineStr">
        <is>
          <t>Borrowers</t>
        </is>
      </c>
      <c r="B49" s="57" t="n">
        <v>45</v>
      </c>
      <c r="C49" s="59" t="inlineStr">
        <is>
          <t>Recent 30D Charge Count</t>
        </is>
      </c>
      <c r="D49" s="59" t="inlineStr">
        <is>
          <t>VC / Number</t>
        </is>
      </c>
      <c r="E49" s="57" t="inlineStr">
        <is>
          <t>OLAP only</t>
        </is>
      </c>
      <c r="F49" s="57" t="inlineStr">
        <is>
          <t>-</t>
        </is>
      </c>
      <c r="G49" s="59" t="inlineStr">
        <is>
          <t>Derived count used for workload, portfolio, or risk analysis.</t>
        </is>
      </c>
      <c r="H49" s="59" t="inlineStr">
        <is>
          <t>COUNT(SELECT(Charges[Row ID], AND([Ref Loans].[Ref Borrowers] = [_THISROW].[Row ID], [Charge Date] &gt;= TODAY() - 30, [Charge Date] &lt; TODAY())))</t>
        </is>
      </c>
    </row>
    <row r="50" ht="15" customHeight="1">
      <c r="A50" s="57" t="inlineStr">
        <is>
          <t>Borrowers</t>
        </is>
      </c>
      <c r="B50" s="57" t="n">
        <v>46</v>
      </c>
      <c r="C50" s="59" t="inlineStr">
        <is>
          <t>Recent 30D On Time Count</t>
        </is>
      </c>
      <c r="D50" s="59" t="inlineStr">
        <is>
          <t>VC / Number</t>
        </is>
      </c>
      <c r="E50" s="57" t="inlineStr">
        <is>
          <t>OLAP only</t>
        </is>
      </c>
      <c r="F50" s="57" t="inlineStr">
        <is>
          <t>-</t>
        </is>
      </c>
      <c r="G50" s="59" t="inlineStr">
        <is>
          <t>Derived count used for workload, portfolio, or risk analysis.</t>
        </is>
      </c>
      <c r="H50" s="59" t="inlineStr">
        <is>
          <t>COUNT(SELECT(Charges[Row ID], AND([Ref Loans].[Ref Borrowers] = [_THISROW].[Row ID], [Charge Date] &gt;= TODAY() - 30, [Charge Date] &lt; TODAY(), [Historical On Time] = TRUE)))</t>
        </is>
      </c>
    </row>
    <row r="51" ht="15" customHeight="1">
      <c r="A51" s="57" t="inlineStr">
        <is>
          <t>Borrowers</t>
        </is>
      </c>
      <c r="B51" s="57" t="n">
        <v>47</v>
      </c>
      <c r="C51" s="59" t="inlineStr">
        <is>
          <t>Recent 30D On Time Rate</t>
        </is>
      </c>
      <c r="D51" s="59" t="inlineStr">
        <is>
          <t>VC / Percent</t>
        </is>
      </c>
      <c r="E51" s="57" t="inlineStr">
        <is>
          <t>OLAP only</t>
        </is>
      </c>
      <c r="F51" s="57" t="inlineStr">
        <is>
          <t>-</t>
        </is>
      </c>
      <c r="G51" s="59" t="inlineStr">
        <is>
          <t>Derived ratio or performance measure calculated from governed source values.</t>
        </is>
      </c>
      <c r="H51" s="59" t="inlineStr">
        <is>
          <t>IF([Recent 30D Charge Count] = 0, 0, [Recent 30D On Time Count] / [Recent 30D Charge Count])</t>
        </is>
      </c>
    </row>
    <row r="52" ht="21.60000038146973" customHeight="1">
      <c r="A52" s="57" t="inlineStr">
        <is>
          <t>Borrowers</t>
        </is>
      </c>
      <c r="B52" s="57" t="n">
        <v>48</v>
      </c>
      <c r="C52" s="59" t="inlineStr">
        <is>
          <t>Lifetime Late Payment Count</t>
        </is>
      </c>
      <c r="D52" s="59" t="inlineStr">
        <is>
          <t>VC / Number</t>
        </is>
      </c>
      <c r="E52" s="57" t="inlineStr">
        <is>
          <t>OLAP only</t>
        </is>
      </c>
      <c r="F52" s="57" t="inlineStr">
        <is>
          <t>-</t>
        </is>
      </c>
      <c r="G52" s="59" t="inlineStr">
        <is>
          <t>Derived count used for workload, portfolio, or risk analysis.</t>
        </is>
      </c>
      <c r="H52" s="59" t="inlineStr">
        <is>
          <t>COUNT(SELECT(Charges[Row ID], AND([Ref Loans].[Ref Borrowers] = [_THISROW].[Row ID], [Historical Late] = TRUE)))</t>
        </is>
      </c>
    </row>
    <row r="53" ht="15" customHeight="1">
      <c r="A53" s="57" t="inlineStr">
        <is>
          <t>Borrowers</t>
        </is>
      </c>
      <c r="B53" s="57" t="n">
        <v>49</v>
      </c>
      <c r="C53" s="59" t="inlineStr">
        <is>
          <t>Recent 30D Late Payment Count</t>
        </is>
      </c>
      <c r="D53" s="59" t="inlineStr">
        <is>
          <t>VC / Number</t>
        </is>
      </c>
      <c r="E53" s="57" t="inlineStr">
        <is>
          <t>OLAP only</t>
        </is>
      </c>
      <c r="F53" s="57" t="inlineStr">
        <is>
          <t>-</t>
        </is>
      </c>
      <c r="G53" s="59" t="inlineStr">
        <is>
          <t>Derived count used for workload, portfolio, or risk analysis.</t>
        </is>
      </c>
      <c r="H53" s="59" t="inlineStr">
        <is>
          <t>COUNT(SELECT(Charges[Row ID], AND([Ref Loans].[Ref Borrowers] = [_THISROW].[Row ID], [Charge Date] &gt;= TODAY() - 30, [Charge Date] &lt; TODAY(), [Historical Late] = TRUE)))</t>
        </is>
      </c>
    </row>
    <row r="54" ht="15" customHeight="1">
      <c r="A54" s="57" t="inlineStr">
        <is>
          <t>Borrowers</t>
        </is>
      </c>
      <c r="B54" s="57" t="n">
        <v>50</v>
      </c>
      <c r="C54" s="59" t="inlineStr">
        <is>
          <t>Maximum Days Late</t>
        </is>
      </c>
      <c r="D54" s="59" t="inlineStr">
        <is>
          <t>VC / Number</t>
        </is>
      </c>
      <c r="E54" s="57" t="inlineStr">
        <is>
          <t>OLAP only</t>
        </is>
      </c>
      <c r="F54" s="57" t="inlineStr">
        <is>
          <t>-</t>
        </is>
      </c>
      <c r="G54" s="59" t="inlineStr">
        <is>
          <t>Derived business-state or risk indicator.</t>
        </is>
      </c>
      <c r="H54" s="59" t="inlineStr">
        <is>
          <t>MAX(LIST(0) + SELECT(Charges[Days Late], [Ref Loans].[Ref Borrowers] = [_THISROW].[Row ID]))</t>
        </is>
      </c>
    </row>
    <row r="55" ht="21.60000038146973" customHeight="1">
      <c r="A55" s="57" t="inlineStr">
        <is>
          <t>Borrowers</t>
        </is>
      </c>
      <c r="B55" s="57" t="n">
        <v>51</v>
      </c>
      <c r="C55" s="59" t="inlineStr">
        <is>
          <t>Last Late Payment Date</t>
        </is>
      </c>
      <c r="D55" s="59" t="inlineStr">
        <is>
          <t>VC / Date</t>
        </is>
      </c>
      <c r="E55" s="57" t="inlineStr">
        <is>
          <t>OLAP only</t>
        </is>
      </c>
      <c r="F55" s="57" t="inlineStr">
        <is>
          <t>-</t>
        </is>
      </c>
      <c r="G55" s="59" t="inlineStr">
        <is>
          <t>Derived business-state or risk indicator.</t>
        </is>
      </c>
      <c r="H55" s="59" t="inlineStr">
        <is>
          <t>MAX(SELECT(Charges[Charge Date], AND([Ref Loans].[Ref Borrowers] = [_THISROW].[Row ID], [Days Late] &gt; 0)))</t>
        </is>
      </c>
    </row>
    <row r="56" ht="32.40000152587891" customHeight="1">
      <c r="A56" s="57" t="inlineStr">
        <is>
          <t>Borrowers</t>
        </is>
      </c>
      <c r="B56" s="57" t="n">
        <v>52</v>
      </c>
      <c r="C56" s="59" t="inlineStr">
        <is>
          <t>Largest Successful Loan</t>
        </is>
      </c>
      <c r="D56" s="59" t="inlineStr">
        <is>
          <t>VC / Price</t>
        </is>
      </c>
      <c r="E56" s="57" t="inlineStr">
        <is>
          <t>OLAP only</t>
        </is>
      </c>
      <c r="F56" s="57" t="inlineStr">
        <is>
          <t>-</t>
        </is>
      </c>
      <c r="G56" s="59" t="inlineStr">
        <is>
          <t>Derived AppSheet value used by the app workflow, presentation, or reporting model.</t>
        </is>
      </c>
      <c r="H56" s="59" t="inlineStr">
        <is>
          <t>MAX(LIST(0) + SELECT(Loans[Principal Amount], AND([Ref Borrowers] = [_THISROW].[Row ID], [Loan Status] = "ปิดยอดแล้ว", [Defaulted] = FALSE)))</t>
        </is>
      </c>
    </row>
    <row r="57" ht="15" customHeight="1">
      <c r="A57" s="57" t="inlineStr">
        <is>
          <t>Borrowers</t>
        </is>
      </c>
      <c r="B57" s="57" t="n">
        <v>53</v>
      </c>
      <c r="C57" s="59" t="inlineStr">
        <is>
          <t>Average Successful Loan Size</t>
        </is>
      </c>
      <c r="D57" s="59" t="inlineStr">
        <is>
          <t>VC / Price</t>
        </is>
      </c>
      <c r="E57" s="57" t="inlineStr">
        <is>
          <t>OLAP only</t>
        </is>
      </c>
      <c r="F57" s="57" t="inlineStr">
        <is>
          <t>-</t>
        </is>
      </c>
      <c r="G57" s="59" t="inlineStr">
        <is>
          <t>Derived date, time-window, age, or delinquency measure.</t>
        </is>
      </c>
      <c r="H57" s="59" t="inlineStr">
        <is>
          <t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t>
        </is>
      </c>
    </row>
    <row r="58" ht="15" customHeight="1">
      <c r="A58" s="57" t="inlineStr">
        <is>
          <t>Borrowers</t>
        </is>
      </c>
      <c r="B58" s="57" t="n">
        <v>54</v>
      </c>
      <c r="C58" s="59" t="inlineStr">
        <is>
          <t>Default Count</t>
        </is>
      </c>
      <c r="D58" s="59" t="inlineStr">
        <is>
          <t>VC / Number</t>
        </is>
      </c>
      <c r="E58" s="57" t="inlineStr">
        <is>
          <t>OLAP only</t>
        </is>
      </c>
      <c r="F58" s="57" t="inlineStr">
        <is>
          <t>-</t>
        </is>
      </c>
      <c r="G58" s="59" t="inlineStr">
        <is>
          <t>Derived count used for workload, portfolio, or risk analysis.</t>
        </is>
      </c>
      <c r="H58" s="59" t="inlineStr">
        <is>
          <t>COUNT(SELECT(Loans[Row ID], AND([Ref Borrowers] = [_THISROW].[Row ID], [Defaulted] = TRUE)))</t>
        </is>
      </c>
    </row>
    <row r="59" ht="15" customHeight="1">
      <c r="A59" s="57" t="inlineStr">
        <is>
          <t>Borrowers</t>
        </is>
      </c>
      <c r="B59" s="57" t="n">
        <v>55</v>
      </c>
      <c r="C59" s="59" t="inlineStr">
        <is>
          <t>Lifetime Default Loss</t>
        </is>
      </c>
      <c r="D59" s="59" t="inlineStr">
        <is>
          <t>VC / Price</t>
        </is>
      </c>
      <c r="E59" s="57" t="inlineStr">
        <is>
          <t>OLAP only</t>
        </is>
      </c>
      <c r="F59" s="57" t="inlineStr">
        <is>
          <t>-</t>
        </is>
      </c>
      <c r="G59" s="59" t="inlineStr">
        <is>
          <t>Derived AppSheet value used by the app workflow, presentation, or reporting model.</t>
        </is>
      </c>
      <c r="H59" s="59" t="inlineStr">
        <is>
          <t>SUM(SELECT(Loans[Default Loss Amount], AND([Ref Borrowers] = [_THISROW].[Row ID], [Defaulted] = TRUE)))</t>
        </is>
      </c>
    </row>
    <row r="60" ht="15" customHeight="1">
      <c r="A60" s="57" t="inlineStr">
        <is>
          <t>Borrowers</t>
        </is>
      </c>
      <c r="B60" s="57" t="n">
        <v>56</v>
      </c>
      <c r="C60" s="59" t="inlineStr">
        <is>
          <t>Portfolio Outstanding Principal</t>
        </is>
      </c>
      <c r="D60" s="59" t="inlineStr">
        <is>
          <t>VC / Price</t>
        </is>
      </c>
      <c r="E60" s="57" t="inlineStr">
        <is>
          <t>OLAP only</t>
        </is>
      </c>
      <c r="F60" s="57" t="inlineStr">
        <is>
          <t>-</t>
        </is>
      </c>
      <c r="G60" s="59" t="inlineStr">
        <is>
          <t>Derived financial aggregate or balance for operational or analytical use.</t>
        </is>
      </c>
      <c r="H60" s="59" t="inlineStr">
        <is>
          <t>SUM(Loans[Outstanding Principal])</t>
        </is>
      </c>
    </row>
    <row r="61" ht="21.60000038146973" customHeight="1">
      <c r="A61" s="57" t="inlineStr">
        <is>
          <t>Borrowers</t>
        </is>
      </c>
      <c r="B61" s="57" t="n">
        <v>57</v>
      </c>
      <c r="C61" s="59" t="inlineStr">
        <is>
          <t>Portfolio Share Join Key</t>
        </is>
      </c>
      <c r="D61" s="59" t="inlineStr">
        <is>
          <t>VC / Text</t>
        </is>
      </c>
      <c r="E61" s="57" t="inlineStr">
        <is>
          <t>OLAP only</t>
        </is>
      </c>
      <c r="F61" s="57" t="inlineStr">
        <is>
          <t>-</t>
        </is>
      </c>
      <c r="G61" s="59" t="inlineStr">
        <is>
          <t>Derived grouping, ordering, or join value used by reporting or app presentation.</t>
        </is>
      </c>
      <c r="H61" s="59" t="inlineStr">
        <is>
          <t>"Portfolio"</t>
        </is>
      </c>
    </row>
    <row r="62" ht="15" customHeight="1">
      <c r="A62" s="57" t="inlineStr">
        <is>
          <t>Borrowers</t>
        </is>
      </c>
      <c r="B62" s="57" t="n">
        <v>58</v>
      </c>
      <c r="C62" s="59" t="inlineStr">
        <is>
          <t>Daily Collection Status - Order</t>
        </is>
      </c>
      <c r="D62" s="59" t="inlineStr">
        <is>
          <t>VC / Text</t>
        </is>
      </c>
      <c r="E62" s="57" t="inlineStr">
        <is>
          <t>OLTP only</t>
        </is>
      </c>
      <c r="F62" s="57" t="inlineStr">
        <is>
          <t>-</t>
        </is>
      </c>
      <c r="G62" s="59" t="inlineStr">
        <is>
          <t>Derived grouping, ordering, or join value used by reporting or app presentation.</t>
        </is>
      </c>
      <c r="H62" s="59" t="inlineStr">
        <is>
          <t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t>
        </is>
      </c>
    </row>
    <row r="63" ht="15" customHeight="1">
      <c r="A63" s="57" t="inlineStr">
        <is>
          <t>Borrowers</t>
        </is>
      </c>
      <c r="B63" s="57" t="n">
        <v>59</v>
      </c>
      <c r="C63" s="59" t="inlineStr">
        <is>
          <t>Borrower Name - Collection</t>
        </is>
      </c>
      <c r="D63" s="59" t="inlineStr">
        <is>
          <t>VC / Text</t>
        </is>
      </c>
      <c r="E63" s="57" t="inlineStr">
        <is>
          <t>OLTP only</t>
        </is>
      </c>
      <c r="F63" s="57" t="inlineStr">
        <is>
          <t>-</t>
        </is>
      </c>
      <c r="G63" s="59" t="inlineStr">
        <is>
          <t>Derived AppSheet value used by the app workflow, presentation, or reporting model.</t>
        </is>
      </c>
      <c r="H63" s="59" t="inlineStr">
        <is>
          <t>CONCATENATE([Borrower Name], " - ", [Description])</t>
        </is>
      </c>
    </row>
    <row r="64" ht="15" customHeight="1">
      <c r="A64" s="57" t="inlineStr">
        <is>
          <t>Calendar</t>
        </is>
      </c>
      <c r="B64" s="57" t="n">
        <v>1</v>
      </c>
      <c r="C64" s="59" t="inlineStr">
        <is>
          <t>_RowNumber</t>
        </is>
      </c>
      <c r="D64" s="59" t="inlineStr">
        <is>
          <t>Physical / Number</t>
        </is>
      </c>
      <c r="E64" s="57" t="inlineStr">
        <is>
          <t>OLAP only</t>
        </is>
      </c>
      <c r="F64" s="57" t="inlineStr">
        <is>
          <t>-</t>
        </is>
      </c>
      <c r="G64" s="59" t="inlineStr">
        <is>
          <t>System-generated source-row ordinal; not a stable business key.</t>
        </is>
      </c>
      <c r="H64" s="59" t="inlineStr">
        <is>
          <t>Stored source column</t>
        </is>
      </c>
    </row>
    <row r="65" ht="15" customHeight="1">
      <c r="A65" s="57" t="inlineStr">
        <is>
          <t>Calendar</t>
        </is>
      </c>
      <c r="B65" s="57" t="n">
        <v>2</v>
      </c>
      <c r="C65" s="59" t="inlineStr">
        <is>
          <t>Date</t>
        </is>
      </c>
      <c r="D65" s="59" t="inlineStr">
        <is>
          <t>Physical / Date</t>
        </is>
      </c>
      <c r="E65" s="57" t="inlineStr">
        <is>
          <t>OLAP only</t>
        </is>
      </c>
      <c r="F65" s="57" t="inlineStr">
        <is>
          <t>Key, Label, Required</t>
        </is>
      </c>
      <c r="G65" s="59" t="inlineStr">
        <is>
          <t>Stores the source date for Date.</t>
        </is>
      </c>
      <c r="H65" s="59" t="inlineStr">
        <is>
          <t>Stored source column</t>
        </is>
      </c>
    </row>
    <row r="66" ht="15" customHeight="1">
      <c r="A66" s="57" t="inlineStr">
        <is>
          <t>Calendar</t>
        </is>
      </c>
      <c r="B66" s="57" t="n">
        <v>3</v>
      </c>
      <c r="C66" s="59" t="inlineStr">
        <is>
          <t>Assessment Proposed Amount</t>
        </is>
      </c>
      <c r="D66" s="59" t="inlineStr">
        <is>
          <t>VC / Price</t>
        </is>
      </c>
      <c r="E66" s="57" t="inlineStr">
        <is>
          <t>OLAP only</t>
        </is>
      </c>
      <c r="F66" s="57" t="inlineStr">
        <is>
          <t>-</t>
        </is>
      </c>
      <c r="G66" s="59" t="inlineStr">
        <is>
          <t>Derived financial aggregate or balance for operational or analytical use.</t>
        </is>
      </c>
      <c r="H66" s="59" t="inlineStr">
        <is>
          <t>LOOKUP( "MAIN", "Loan Assessment", "Assessment ID", "Proposed Loan Amount")</t>
        </is>
      </c>
    </row>
    <row r="67" ht="15" customHeight="1">
      <c r="A67" s="57" t="inlineStr">
        <is>
          <t>Calendar</t>
        </is>
      </c>
      <c r="B67" s="57" t="n">
        <v>4</v>
      </c>
      <c r="C67" s="59" t="inlineStr">
        <is>
          <t>Assessment Borrower</t>
        </is>
      </c>
      <c r="D67" s="59" t="inlineStr">
        <is>
          <t>VC / Ref</t>
        </is>
      </c>
      <c r="E67" s="57" t="inlineStr">
        <is>
          <t>OLAP only</t>
        </is>
      </c>
      <c r="F67" s="57" t="inlineStr">
        <is>
          <t>-</t>
        </is>
      </c>
      <c r="G67" s="59" t="inlineStr">
        <is>
          <t>Reference key that links this row to the configured parent table.</t>
        </is>
      </c>
      <c r="H67" s="59" t="inlineStr">
        <is>
          <t>LOOKUP("MAIN", "Loan Assessment", "Assessment ID", "Ref Borrower")</t>
        </is>
      </c>
    </row>
    <row r="68" ht="21.60000038146973" customHeight="1">
      <c r="A68" s="57" t="inlineStr">
        <is>
          <t>Calendar</t>
        </is>
      </c>
      <c r="B68" s="57" t="n">
        <v>5</v>
      </c>
      <c r="C68" s="59" t="inlineStr">
        <is>
          <t>Assessment Minimum Rate</t>
        </is>
      </c>
      <c r="D68" s="59" t="inlineStr">
        <is>
          <t>VC / Percent</t>
        </is>
      </c>
      <c r="E68" s="57" t="inlineStr">
        <is>
          <t>OLAP only</t>
        </is>
      </c>
      <c r="F68" s="57" t="inlineStr">
        <is>
          <t>-</t>
        </is>
      </c>
      <c r="G68" s="59" t="inlineStr">
        <is>
          <t>Derived ratio or performance measure calculated from governed source values.</t>
        </is>
      </c>
      <c r="H68" s="59" t="inlineStr">
        <is>
          <t>LOOKUP("MAIN", "Loan Assessment", "Assessment ID", "Minimum Daily Profit Rate")</t>
        </is>
      </c>
    </row>
    <row r="69" ht="54" customHeight="1">
      <c r="A69" s="57" t="inlineStr">
        <is>
          <t>Calendar</t>
        </is>
      </c>
      <c r="B69" s="57" t="n">
        <v>6</v>
      </c>
      <c r="C69" s="59" t="inlineStr">
        <is>
          <t>Projected Outstanding Principal</t>
        </is>
      </c>
      <c r="D69" s="59" t="inlineStr">
        <is>
          <t>VC / Price</t>
        </is>
      </c>
      <c r="E69" s="57" t="inlineStr">
        <is>
          <t>OLAP only</t>
        </is>
      </c>
      <c r="F69" s="57" t="inlineStr">
        <is>
          <t>-</t>
        </is>
      </c>
      <c r="G69" s="59" t="inlineStr">
        <is>
          <t>Derived financial aggregate or balance for operational or analytical use.</t>
        </is>
      </c>
      <c r="H69" s="59" t="inlineStr">
        <is>
          <t>SUM( SELECT( Loans[Outstanding Principal], AND( [Ref Borrowers] = [_THISROW].[Assessment Borrower], [Loan Status] = "ยังไม่ปิดยอด", OR( [Loan Type] = "ดอกเบี้ยรายวัน", AND([Loan Type] = "กำหนดวันชำระ", [Due Date] &gt; [_THISROW].[Date]) ) ) ))</t>
        </is>
      </c>
    </row>
    <row r="70" ht="15" customHeight="1">
      <c r="A70" s="57" t="inlineStr">
        <is>
          <t>Calendar</t>
        </is>
      </c>
      <c r="B70" s="57" t="n">
        <v>7</v>
      </c>
      <c r="C70" s="59" t="inlineStr">
        <is>
          <t>Projected Interest</t>
        </is>
      </c>
      <c r="D70" s="59" t="inlineStr">
        <is>
          <t>VC / Price</t>
        </is>
      </c>
      <c r="E70" s="57" t="inlineStr">
        <is>
          <t>OLAP only</t>
        </is>
      </c>
      <c r="F70" s="57" t="inlineStr">
        <is>
          <t>-</t>
        </is>
      </c>
      <c r="G70" s="59" t="inlineStr">
        <is>
          <t>Derived financial aggregate or balance for operational or analytical use.</t>
        </is>
      </c>
      <c r="H70" s="59" t="inlineStr">
        <is>
          <t>SUM( SELECT( Loans[Total Interest Received], AND( [Ref Borrowers] = [_THISROW].[Assessment Borrower], [Loan Status] = "ยังไม่ปิดยอด" ) ))+( SUM( SELECT( Loans[Current Daily Interest], AND( [Ref Borrowers] = [_THISROW].[Assessment Borrower], [Loan Status] = "ยังไม่ปิดยอด", [Loan Type] = "ดอกเบี้ยรายวัน" ) ) ) * IF( [Date] &gt; TODAY(), TOTALHOURS([Date] - TODAY()) / 24, 0 ))+SUM( SELECT( Loans[Fixed Interest], AND( [Ref Borrowers] = [_THISROW].[Assessment Borrower], [Loan Status] = "ยังไม่ปิดยอด", [Loan Type] = "กำหนดวันชำระ", [Due Date] &gt; TODAY(), [Due Date] &lt;= [_THISROW].[Date] ) ))</t>
        </is>
      </c>
    </row>
    <row r="71" ht="21.60000038146973" customHeight="1">
      <c r="A71" s="57" t="inlineStr">
        <is>
          <t>Calendar</t>
        </is>
      </c>
      <c r="B71" s="57" t="n">
        <v>8</v>
      </c>
      <c r="C71" s="59" t="inlineStr">
        <is>
          <t>Candidate Day Index</t>
        </is>
      </c>
      <c r="D71" s="59" t="inlineStr">
        <is>
          <t>VC / Decimal</t>
        </is>
      </c>
      <c r="E71" s="57" t="inlineStr">
        <is>
          <t>OLAP only</t>
        </is>
      </c>
      <c r="F71" s="57" t="inlineStr">
        <is>
          <t>-</t>
        </is>
      </c>
      <c r="G71" s="59" t="inlineStr">
        <is>
          <t>Derived date, time-window, age, or delinquency measure.</t>
        </is>
      </c>
      <c r="H71" s="59" t="inlineStr">
        <is>
          <t>TOTALHOURS( [Date] - DATE("01/01/2000")) / 24</t>
        </is>
      </c>
    </row>
    <row r="72" ht="21.60000038146973" customHeight="1">
      <c r="A72" s="57" t="inlineStr">
        <is>
          <t>Calendar</t>
        </is>
      </c>
      <c r="B72" s="57" t="n">
        <v>9</v>
      </c>
      <c r="C72" s="59" t="inlineStr">
        <is>
          <t>Assessment Principal Base</t>
        </is>
      </c>
      <c r="D72" s="59" t="inlineStr">
        <is>
          <t>VC / Price</t>
        </is>
      </c>
      <c r="E72" s="57" t="inlineStr">
        <is>
          <t>OLAP only</t>
        </is>
      </c>
      <c r="F72" s="57" t="inlineStr">
        <is>
          <t>-</t>
        </is>
      </c>
      <c r="G72" s="59" t="inlineStr">
        <is>
          <t>Derived financial aggregate or balance for operational or analytical use.</t>
        </is>
      </c>
      <c r="H72" s="59" t="inlineStr">
        <is>
          <t>SUM( SELECT( Loans[Principal Amount], AND( [Ref Borrowers] = [_THISROW].[Assessment Borrower], [Loan Status] = "ยังไม่ปิดยอด", OR( [Loan Type] = "ดอกเบี้ยรายวัน", AND([Loan Type] = "กำหนดวันชำระ", [Due Date] &gt; [_THISROW].[Date]) ) ) ))</t>
        </is>
      </c>
    </row>
    <row r="73" ht="21.60000038146973" customHeight="1">
      <c r="A73" s="57" t="inlineStr">
        <is>
          <t>Calendar</t>
        </is>
      </c>
      <c r="B73" s="57" t="n">
        <v>10</v>
      </c>
      <c r="C73" s="59" t="inlineStr">
        <is>
          <t>Assessment Principal Start Weight</t>
        </is>
      </c>
      <c r="D73" s="59" t="inlineStr">
        <is>
          <t>VC / Decimal</t>
        </is>
      </c>
      <c r="E73" s="57" t="inlineStr">
        <is>
          <t>OLAP only</t>
        </is>
      </c>
      <c r="F73" s="57" t="inlineStr">
        <is>
          <t>-</t>
        </is>
      </c>
      <c r="G73" s="59" t="inlineStr">
        <is>
          <t>Derived financial aggregate or balance for operational or analytical use.</t>
        </is>
      </c>
      <c r="H73" s="59" t="inlineStr">
        <is>
          <t>SUM( SELECT( Loans[Principal Start Weight], AND( [Ref Borrowers] = [_THISROW].[Assessment Borrower], [Loan Status] = "ยังไม่ปิดยอด", OR( [Loan Type] = "ดอกเบี้ยรายวัน", AND([Loan Type] = "กำหนดวันชำระ", [Due Date] &gt; [_THISROW].[Date]) ) ) ))</t>
        </is>
      </c>
    </row>
    <row r="74" ht="15" customHeight="1">
      <c r="A74" s="57" t="inlineStr">
        <is>
          <t>Calendar</t>
        </is>
      </c>
      <c r="B74" s="57" t="n">
        <v>11</v>
      </c>
      <c r="C74" s="59" t="inlineStr">
        <is>
          <t>Minimum Required Profit</t>
        </is>
      </c>
      <c r="D74" s="59" t="inlineStr">
        <is>
          <t>VC / Price</t>
        </is>
      </c>
      <c r="E74" s="57" t="inlineStr">
        <is>
          <t>OLAP only</t>
        </is>
      </c>
      <c r="F74" s="57" t="inlineStr">
        <is>
          <t>-</t>
        </is>
      </c>
      <c r="G74" s="59" t="inlineStr">
        <is>
          <t>Derived financial aggregate or balance for operational or analytical use.</t>
        </is>
      </c>
      <c r="H74" s="59" t="inlineStr">
        <is>
          <t>[Assessment Minimum Rate]* (( ( [Candidate Day Index] + 1 ) * [Assessment Principal Base] )- [Assessment Principal Start Weight])</t>
        </is>
      </c>
    </row>
    <row r="75" ht="15" customHeight="1">
      <c r="A75" s="57" t="inlineStr">
        <is>
          <t>Calendar</t>
        </is>
      </c>
      <c r="B75" s="57" t="n">
        <v>12</v>
      </c>
      <c r="C75" s="59" t="inlineStr">
        <is>
          <t>Required Coverage</t>
        </is>
      </c>
      <c r="D75" s="59" t="inlineStr">
        <is>
          <t>VC / Price</t>
        </is>
      </c>
      <c r="E75" s="57" t="inlineStr">
        <is>
          <t>OLAP only</t>
        </is>
      </c>
      <c r="F75" s="57" t="inlineStr">
        <is>
          <t>-</t>
        </is>
      </c>
      <c r="G75" s="59" t="inlineStr">
        <is>
          <t>Derived ratio or performance measure calculated from governed source values.</t>
        </is>
      </c>
      <c r="H75" s="59" t="inlineStr">
        <is>
          <t>[Projected Outstanding Principal]+[Assessment Proposed Amount]+[Minimum Required Profit]</t>
        </is>
      </c>
    </row>
    <row r="76" ht="15" customHeight="1">
      <c r="A76" s="57" t="inlineStr">
        <is>
          <t>Calendar</t>
        </is>
      </c>
      <c r="B76" s="57" t="n">
        <v>13</v>
      </c>
      <c r="C76" s="59" t="inlineStr">
        <is>
          <t>Coverage Margin</t>
        </is>
      </c>
      <c r="D76" s="59" t="inlineStr">
        <is>
          <t>VC / Price</t>
        </is>
      </c>
      <c r="E76" s="57" t="inlineStr">
        <is>
          <t>OLAP only</t>
        </is>
      </c>
      <c r="F76" s="57" t="inlineStr">
        <is>
          <t>-</t>
        </is>
      </c>
      <c r="G76" s="59" t="inlineStr">
        <is>
          <t>Derived ratio or performance measure calculated from governed source values.</t>
        </is>
      </c>
      <c r="H76" s="59" t="inlineStr">
        <is>
          <t>[Projected Interest] - [Required Coverage]</t>
        </is>
      </c>
    </row>
    <row r="77" ht="15" customHeight="1">
      <c r="A77" s="57" t="inlineStr">
        <is>
          <t>Calendar</t>
        </is>
      </c>
      <c r="B77" s="57" t="n">
        <v>14</v>
      </c>
      <c r="C77" s="59" t="inlineStr">
        <is>
          <t>Eligible</t>
        </is>
      </c>
      <c r="D77" s="59" t="inlineStr">
        <is>
          <t>VC / Yes/No</t>
        </is>
      </c>
      <c r="E77" s="57" t="inlineStr">
        <is>
          <t>OLAP only</t>
        </is>
      </c>
      <c r="F77" s="57" t="inlineStr">
        <is>
          <t>-</t>
        </is>
      </c>
      <c r="G77" s="59" t="inlineStr">
        <is>
          <t>Derived business-state or risk indicator.</t>
        </is>
      </c>
      <c r="H77" s="59" t="inlineStr">
        <is>
          <t>AND([Date] &gt;= TODAY(), [Projected Interest] &gt;= [Required Coverage])</t>
        </is>
      </c>
    </row>
    <row r="78" ht="15" customHeight="1">
      <c r="A78" s="57" t="inlineStr">
        <is>
          <t>Calendar</t>
        </is>
      </c>
      <c r="B78" s="57" t="n">
        <v>15</v>
      </c>
      <c r="C78" s="59" t="inlineStr">
        <is>
          <t>Year</t>
        </is>
      </c>
      <c r="D78" s="59" t="inlineStr">
        <is>
          <t>VC / Number</t>
        </is>
      </c>
      <c r="E78" s="57" t="inlineStr">
        <is>
          <t>OLAP only</t>
        </is>
      </c>
      <c r="F78" s="57" t="inlineStr">
        <is>
          <t>-</t>
        </is>
      </c>
      <c r="G78" s="59" t="inlineStr">
        <is>
          <t>Derived date, time-window, age, or delinquency measure.</t>
        </is>
      </c>
      <c r="H78" s="59" t="inlineStr">
        <is>
          <t>YEAR([Date])</t>
        </is>
      </c>
    </row>
    <row r="79" ht="15" customHeight="1">
      <c r="A79" s="57" t="inlineStr">
        <is>
          <t>Calendar</t>
        </is>
      </c>
      <c r="B79" s="57" t="n">
        <v>16</v>
      </c>
      <c r="C79" s="59" t="inlineStr">
        <is>
          <t>Month</t>
        </is>
      </c>
      <c r="D79" s="59" t="inlineStr">
        <is>
          <t>VC / Number</t>
        </is>
      </c>
      <c r="E79" s="57" t="inlineStr">
        <is>
          <t>OLAP only</t>
        </is>
      </c>
      <c r="F79" s="57" t="inlineStr">
        <is>
          <t>-</t>
        </is>
      </c>
      <c r="G79" s="59" t="inlineStr">
        <is>
          <t>Derived date, time-window, age, or delinquency measure.</t>
        </is>
      </c>
      <c r="H79" s="59" t="inlineStr">
        <is>
          <t>MONTH([Date])</t>
        </is>
      </c>
    </row>
    <row r="80" ht="15" customHeight="1">
      <c r="A80" s="57" t="inlineStr">
        <is>
          <t>Calendar</t>
        </is>
      </c>
      <c r="B80" s="57" t="n">
        <v>17</v>
      </c>
      <c r="C80" s="59" t="inlineStr">
        <is>
          <t>Month Name</t>
        </is>
      </c>
      <c r="D80" s="59" t="inlineStr">
        <is>
          <t>VC / Text</t>
        </is>
      </c>
      <c r="E80" s="57" t="inlineStr">
        <is>
          <t>OLAP only</t>
        </is>
      </c>
      <c r="F80" s="57" t="inlineStr">
        <is>
          <t>-</t>
        </is>
      </c>
      <c r="G80" s="59" t="inlineStr">
        <is>
          <t>Derived date, time-window, age, or delinquency measure.</t>
        </is>
      </c>
      <c r="H80" s="59" t="inlineStr">
        <is>
          <t>TEXT([Date], "MMMM")</t>
        </is>
      </c>
    </row>
    <row r="81" ht="15" customHeight="1">
      <c r="A81" s="57" t="inlineStr">
        <is>
          <t>Calendar</t>
        </is>
      </c>
      <c r="B81" s="57" t="n">
        <v>18</v>
      </c>
      <c r="C81" s="59" t="inlineStr">
        <is>
          <t>Year Month</t>
        </is>
      </c>
      <c r="D81" s="59" t="inlineStr">
        <is>
          <t>VC / Text</t>
        </is>
      </c>
      <c r="E81" s="57" t="inlineStr">
        <is>
          <t>OLAP only</t>
        </is>
      </c>
      <c r="F81" s="57" t="inlineStr">
        <is>
          <t>-</t>
        </is>
      </c>
      <c r="G81" s="59" t="inlineStr">
        <is>
          <t>Derived date, time-window, age, or delinquency measure.</t>
        </is>
      </c>
      <c r="H81" s="59" t="inlineStr">
        <is>
          <t>TEXT([Date], "YYYY-MM")</t>
        </is>
      </c>
    </row>
    <row r="82" ht="15" customHeight="1">
      <c r="A82" s="57" t="inlineStr">
        <is>
          <t>Calendar</t>
        </is>
      </c>
      <c r="B82" s="57" t="n">
        <v>19</v>
      </c>
      <c r="C82" s="59" t="inlineStr">
        <is>
          <t>Week</t>
        </is>
      </c>
      <c r="D82" s="59" t="inlineStr">
        <is>
          <t>VC / Number</t>
        </is>
      </c>
      <c r="E82" s="57" t="inlineStr">
        <is>
          <t>OLAP only</t>
        </is>
      </c>
      <c r="F82" s="57" t="inlineStr">
        <is>
          <t>-</t>
        </is>
      </c>
      <c r="G82" s="59" t="inlineStr">
        <is>
          <t>Derived date, time-window, age, or delinquency measure.</t>
        </is>
      </c>
      <c r="H82" s="59" t="inlineStr">
        <is>
          <t>WEEKNUM([Date])</t>
        </is>
      </c>
    </row>
    <row r="83" ht="15" customHeight="1">
      <c r="A83" s="57" t="inlineStr">
        <is>
          <t>Calendar</t>
        </is>
      </c>
      <c r="B83" s="57" t="n">
        <v>20</v>
      </c>
      <c r="C83" s="59" t="inlineStr">
        <is>
          <t>Year Week</t>
        </is>
      </c>
      <c r="D83" s="59" t="inlineStr">
        <is>
          <t>VC / Text</t>
        </is>
      </c>
      <c r="E83" s="57" t="inlineStr">
        <is>
          <t>OLAP only</t>
        </is>
      </c>
      <c r="F83" s="57" t="inlineStr">
        <is>
          <t>-</t>
        </is>
      </c>
      <c r="G83" s="59" t="inlineStr">
        <is>
          <t>Derived date, time-window, age, or delinquency measure.</t>
        </is>
      </c>
      <c r="H83" s="59" t="inlineStr">
        <is>
          <t>CONCATENATE(YEAR([Date]), "-W", RIGHT("0" &amp; WEEKNUM([Date]), 2))</t>
        </is>
      </c>
    </row>
    <row r="84" ht="15" customHeight="1">
      <c r="A84" s="57" t="inlineStr">
        <is>
          <t>Calendar</t>
        </is>
      </c>
      <c r="B84" s="57" t="n">
        <v>21</v>
      </c>
      <c r="C84" s="59" t="inlineStr">
        <is>
          <t>Week Start</t>
        </is>
      </c>
      <c r="D84" s="59" t="inlineStr">
        <is>
          <t>VC / Date</t>
        </is>
      </c>
      <c r="E84" s="57" t="inlineStr">
        <is>
          <t>OLAP only</t>
        </is>
      </c>
      <c r="F84" s="57" t="inlineStr">
        <is>
          <t>-</t>
        </is>
      </c>
      <c r="G84" s="59" t="inlineStr">
        <is>
          <t>Derived date, time-window, age, or delinquency measure.</t>
        </is>
      </c>
      <c r="H84" s="59" t="inlineStr">
        <is>
          <t>[Date] - MOD(WEEKDAY([Date]) + 5, 7)</t>
        </is>
      </c>
    </row>
    <row r="85" ht="15" customHeight="1">
      <c r="A85" s="57" t="inlineStr">
        <is>
          <t>Calendar</t>
        </is>
      </c>
      <c r="B85" s="57" t="n">
        <v>22</v>
      </c>
      <c r="C85" s="59" t="inlineStr">
        <is>
          <t>Quarter</t>
        </is>
      </c>
      <c r="D85" s="59" t="inlineStr">
        <is>
          <t>VC / Text</t>
        </is>
      </c>
      <c r="E85" s="57" t="inlineStr">
        <is>
          <t>OLAP only</t>
        </is>
      </c>
      <c r="F85" s="57" t="inlineStr">
        <is>
          <t>-</t>
        </is>
      </c>
      <c r="G85" s="59" t="inlineStr">
        <is>
          <t>Derived AppSheet value used by the app workflow, presentation, or reporting model.</t>
        </is>
      </c>
      <c r="H85" s="59" t="inlineStr">
        <is>
          <t>CONCATENATE( "Q", CEILING(MONTH([Date]) / 3))</t>
        </is>
      </c>
    </row>
    <row r="86" ht="15" customHeight="1">
      <c r="A86" s="57" t="inlineStr">
        <is>
          <t>Calendar</t>
        </is>
      </c>
      <c r="B86" s="57" t="n">
        <v>23</v>
      </c>
      <c r="C86" s="59" t="inlineStr">
        <is>
          <t>Day of Week</t>
        </is>
      </c>
      <c r="D86" s="59" t="inlineStr">
        <is>
          <t>VC / Text</t>
        </is>
      </c>
      <c r="E86" s="57" t="inlineStr">
        <is>
          <t>OLAP only</t>
        </is>
      </c>
      <c r="F86" s="57" t="inlineStr">
        <is>
          <t>-</t>
        </is>
      </c>
      <c r="G86" s="59" t="inlineStr">
        <is>
          <t>Derived date, time-window, age, or delinquency measure.</t>
        </is>
      </c>
      <c r="H86" s="59" t="inlineStr">
        <is>
          <t>TEXT([Date], "dddd")</t>
        </is>
      </c>
    </row>
    <row r="87" ht="15" customHeight="1">
      <c r="A87" s="57" t="inlineStr">
        <is>
          <t>Calendar</t>
        </is>
      </c>
      <c r="B87" s="57" t="n">
        <v>24</v>
      </c>
      <c r="C87" s="59" t="inlineStr">
        <is>
          <t>Day of Month</t>
        </is>
      </c>
      <c r="D87" s="59" t="inlineStr">
        <is>
          <t>VC / Number</t>
        </is>
      </c>
      <c r="E87" s="57" t="inlineStr">
        <is>
          <t>OLAP only</t>
        </is>
      </c>
      <c r="F87" s="57" t="inlineStr">
        <is>
          <t>-</t>
        </is>
      </c>
      <c r="G87" s="59" t="inlineStr">
        <is>
          <t>Derived date, time-window, age, or delinquency measure.</t>
        </is>
      </c>
      <c r="H87" s="59" t="inlineStr">
        <is>
          <t>DAY([Date])</t>
        </is>
      </c>
    </row>
    <row r="88" ht="15" customHeight="1">
      <c r="A88" s="57" t="inlineStr">
        <is>
          <t>Cash Pool Contributions</t>
        </is>
      </c>
      <c r="B88" s="57" t="n">
        <v>1</v>
      </c>
      <c r="C88" s="59" t="inlineStr">
        <is>
          <t>_RowNumber</t>
        </is>
      </c>
      <c r="D88" s="59" t="inlineStr">
        <is>
          <t>Physical / Number</t>
        </is>
      </c>
      <c r="E88" s="57" t="inlineStr">
        <is>
          <t>OLAP only</t>
        </is>
      </c>
      <c r="F88" s="57" t="inlineStr">
        <is>
          <t>-</t>
        </is>
      </c>
      <c r="G88" s="59" t="inlineStr">
        <is>
          <t>System-generated source-row ordinal; not a stable business key.</t>
        </is>
      </c>
      <c r="H88" s="59" t="inlineStr">
        <is>
          <t>Stored source column</t>
        </is>
      </c>
    </row>
    <row r="89" ht="15" customHeight="1">
      <c r="A89" s="57" t="inlineStr">
        <is>
          <t>Cash Pool Contributions</t>
        </is>
      </c>
      <c r="B89" s="57" t="n">
        <v>2</v>
      </c>
      <c r="C89" s="59" t="inlineStr">
        <is>
          <t>Row ID</t>
        </is>
      </c>
      <c r="D89" s="59" t="inlineStr">
        <is>
          <t>Physical / Text</t>
        </is>
      </c>
      <c r="E89" s="57" t="inlineStr">
        <is>
          <t>OLAP only</t>
        </is>
      </c>
      <c r="F89" s="57" t="inlineStr">
        <is>
          <t>Key, Required</t>
        </is>
      </c>
      <c r="G89" s="59" t="inlineStr">
        <is>
          <t>Immutable row key generated by the source database.</t>
        </is>
      </c>
      <c r="H89" s="59" t="inlineStr">
        <is>
          <t>Stored source column; initial value: UNIQUEID("PackedUUID")</t>
        </is>
      </c>
    </row>
    <row r="90" ht="15" customHeight="1">
      <c r="A90" s="57" t="inlineStr">
        <is>
          <t>Cash Pool Contributions</t>
        </is>
      </c>
      <c r="B90" s="57" t="n">
        <v>3</v>
      </c>
      <c r="C90" s="59" t="inlineStr">
        <is>
          <t>Ref Partner</t>
        </is>
      </c>
      <c r="D90" s="59" t="inlineStr">
        <is>
          <t>Physical / Ref</t>
        </is>
      </c>
      <c r="E90" s="57" t="inlineStr">
        <is>
          <t>OLAP only</t>
        </is>
      </c>
      <c r="F90" s="57" t="inlineStr">
        <is>
          <t>Required</t>
        </is>
      </c>
      <c r="G90" s="59" t="inlineStr">
        <is>
          <t>Reference key that links this row to the configured parent table.</t>
        </is>
      </c>
      <c r="H90" s="59" t="inlineStr">
        <is>
          <t>Stored source column</t>
        </is>
      </c>
    </row>
    <row r="91" ht="15" customHeight="1">
      <c r="A91" s="57" t="inlineStr">
        <is>
          <t>Cash Pool Contributions</t>
        </is>
      </c>
      <c r="B91" s="57" t="n">
        <v>4</v>
      </c>
      <c r="C91" s="59" t="inlineStr">
        <is>
          <t>Contribution Date</t>
        </is>
      </c>
      <c r="D91" s="59" t="inlineStr">
        <is>
          <t>Physical / Date</t>
        </is>
      </c>
      <c r="E91" s="57" t="inlineStr">
        <is>
          <t>OLAP only</t>
        </is>
      </c>
      <c r="F91" s="57" t="inlineStr">
        <is>
          <t>Label, Required</t>
        </is>
      </c>
      <c r="G91" s="59" t="inlineStr">
        <is>
          <t>Stores the source date for Contribution Date.</t>
        </is>
      </c>
      <c r="H91" s="59" t="inlineStr">
        <is>
          <t>Stored source column; initial value: TODAY()</t>
        </is>
      </c>
    </row>
    <row r="92" ht="15" customHeight="1">
      <c r="A92" s="57" t="inlineStr">
        <is>
          <t>Cash Pool Contributions</t>
        </is>
      </c>
      <c r="B92" s="57" t="n">
        <v>5</v>
      </c>
      <c r="C92" s="59" t="inlineStr">
        <is>
          <t>Transaction Type</t>
        </is>
      </c>
      <c r="D92" s="59" t="inlineStr">
        <is>
          <t>Physical / Enum</t>
        </is>
      </c>
      <c r="E92" s="57" t="inlineStr">
        <is>
          <t>OLAP only</t>
        </is>
      </c>
      <c r="F92" s="57" t="inlineStr">
        <is>
          <t>Required</t>
        </is>
      </c>
      <c r="G92" s="59" t="inlineStr">
        <is>
          <t>Stores the authoritative source value for Transaction Type.</t>
        </is>
      </c>
      <c r="H92" s="59" t="inlineStr">
        <is>
          <t>Stored source column; initial value: "Contribution"</t>
        </is>
      </c>
    </row>
    <row r="93" ht="15" customHeight="1">
      <c r="A93" s="57" t="inlineStr">
        <is>
          <t>Cash Pool Contributions</t>
        </is>
      </c>
      <c r="B93" s="57" t="n">
        <v>6</v>
      </c>
      <c r="C93" s="59" t="inlineStr">
        <is>
          <t>Amount</t>
        </is>
      </c>
      <c r="D93" s="59" t="inlineStr">
        <is>
          <t>Physical / Price</t>
        </is>
      </c>
      <c r="E93" s="57" t="inlineStr">
        <is>
          <t>OLAP only</t>
        </is>
      </c>
      <c r="F93" s="57" t="inlineStr">
        <is>
          <t>Required</t>
        </is>
      </c>
      <c r="G93" s="59" t="inlineStr">
        <is>
          <t>Stores the financially material source value for Amount.</t>
        </is>
      </c>
      <c r="H93" s="59" t="inlineStr">
        <is>
          <t>Stored source column</t>
        </is>
      </c>
    </row>
    <row r="94" ht="15" customHeight="1">
      <c r="A94" s="57" t="inlineStr">
        <is>
          <t>Cash Pool Contributions</t>
        </is>
      </c>
      <c r="B94" s="57" t="n">
        <v>7</v>
      </c>
      <c r="C94" s="59" t="inlineStr">
        <is>
          <t>Notes</t>
        </is>
      </c>
      <c r="D94" s="59" t="inlineStr">
        <is>
          <t>Physical / Text</t>
        </is>
      </c>
      <c r="E94" s="57" t="inlineStr">
        <is>
          <t>OLAP only</t>
        </is>
      </c>
      <c r="F94" s="57" t="inlineStr">
        <is>
          <t>-</t>
        </is>
      </c>
      <c r="G94" s="59" t="inlineStr">
        <is>
          <t>Stores the authoritative source value for Notes.</t>
        </is>
      </c>
      <c r="H94" s="59" t="inlineStr">
        <is>
          <t>Stored source column</t>
        </is>
      </c>
    </row>
    <row r="95" ht="15" customHeight="1">
      <c r="A95" s="57" t="inlineStr">
        <is>
          <t>Cash Pool Contributions</t>
        </is>
      </c>
      <c r="B95" s="57" t="n">
        <v>8</v>
      </c>
      <c r="C95" s="59" t="inlineStr">
        <is>
          <t>Net Contribution</t>
        </is>
      </c>
      <c r="D95" s="59" t="inlineStr">
        <is>
          <t>VC / Price</t>
        </is>
      </c>
      <c r="E95" s="57" t="inlineStr">
        <is>
          <t>OLAP only</t>
        </is>
      </c>
      <c r="F95" s="57" t="inlineStr">
        <is>
          <t>-</t>
        </is>
      </c>
      <c r="G95" s="59" t="inlineStr">
        <is>
          <t>Derived financial aggregate or balance for operational or analytical use.</t>
        </is>
      </c>
      <c r="H95" s="59" t="inlineStr">
        <is>
          <t>IF([Transaction Type] = "Contribution", [Amount], -[Amount])</t>
        </is>
      </c>
    </row>
    <row r="96" ht="15" customHeight="1">
      <c r="A96" s="57" t="inlineStr">
        <is>
          <t>Cash Pool Contributions</t>
        </is>
      </c>
      <c r="B96" s="57" t="n">
        <v>9</v>
      </c>
      <c r="C96" s="59" t="inlineStr">
        <is>
          <t>Transaction Type TE</t>
        </is>
      </c>
      <c r="D96" s="59" t="inlineStr">
        <is>
          <t>VC / Text</t>
        </is>
      </c>
      <c r="E96" s="57" t="inlineStr">
        <is>
          <t>OLAP only</t>
        </is>
      </c>
      <c r="F96" s="57" t="inlineStr">
        <is>
          <t>-</t>
        </is>
      </c>
      <c r="G96" s="59" t="inlineStr">
        <is>
          <t>Presentation-oriented label or bilingual display value.</t>
        </is>
      </c>
      <c r="H96" s="59" t="inlineStr">
        <is>
          <t>IF( [Transaction Type] = "Contribution", "เพิ่มเงิน - Contribution", "ถอนเงิน - Withdrawal")</t>
        </is>
      </c>
    </row>
    <row r="97" ht="15" customHeight="1">
      <c r="A97" s="57" t="inlineStr">
        <is>
          <t>Charges</t>
        </is>
      </c>
      <c r="B97" s="57" t="n">
        <v>1</v>
      </c>
      <c r="C97" s="59" t="inlineStr">
        <is>
          <t>_RowNumber</t>
        </is>
      </c>
      <c r="D97" s="59" t="inlineStr">
        <is>
          <t>Physical / Number</t>
        </is>
      </c>
      <c r="E97" s="57" t="inlineStr">
        <is>
          <t>OLTP + OLAP</t>
        </is>
      </c>
      <c r="F97" s="57" t="inlineStr">
        <is>
          <t>-</t>
        </is>
      </c>
      <c r="G97" s="59" t="inlineStr">
        <is>
          <t>System-generated source-row ordinal; not a stable business key.</t>
        </is>
      </c>
      <c r="H97" s="59" t="inlineStr">
        <is>
          <t>Stored source column</t>
        </is>
      </c>
    </row>
    <row r="98" ht="15" customHeight="1">
      <c r="A98" s="57" t="inlineStr">
        <is>
          <t>Charges</t>
        </is>
      </c>
      <c r="B98" s="57" t="n">
        <v>2</v>
      </c>
      <c r="C98" s="59" t="inlineStr">
        <is>
          <t>Row ID</t>
        </is>
      </c>
      <c r="D98" s="59" t="inlineStr">
        <is>
          <t>Physical / Text</t>
        </is>
      </c>
      <c r="E98" s="57" t="inlineStr">
        <is>
          <t>OLTP + OLAP</t>
        </is>
      </c>
      <c r="F98" s="57" t="inlineStr">
        <is>
          <t>Key, Required</t>
        </is>
      </c>
      <c r="G98" s="59" t="inlineStr">
        <is>
          <t>Immutable row key generated by the source database.</t>
        </is>
      </c>
      <c r="H98" s="59" t="inlineStr">
        <is>
          <t>Stored source column; initial value: UNIQUEID("PackedUUID")</t>
        </is>
      </c>
    </row>
    <row r="99" ht="15" customHeight="1">
      <c r="A99" s="57" t="inlineStr">
        <is>
          <t>Charges</t>
        </is>
      </c>
      <c r="B99" s="57" t="n">
        <v>3</v>
      </c>
      <c r="C99" s="59" t="inlineStr">
        <is>
          <t>Ref Loans</t>
        </is>
      </c>
      <c r="D99" s="59" t="inlineStr">
        <is>
          <t>Physical / Ref</t>
        </is>
      </c>
      <c r="E99" s="57" t="inlineStr">
        <is>
          <t>OLTP + OLAP</t>
        </is>
      </c>
      <c r="F99" s="57" t="inlineStr">
        <is>
          <t>-</t>
        </is>
      </c>
      <c r="G99" s="59" t="inlineStr">
        <is>
          <t>Reference key that links this row to the configured parent table.</t>
        </is>
      </c>
      <c r="H99" s="59" t="inlineStr">
        <is>
          <t>Stored source column</t>
        </is>
      </c>
    </row>
    <row r="100" ht="15" customHeight="1">
      <c r="A100" s="57" t="inlineStr">
        <is>
          <t>Charges</t>
        </is>
      </c>
      <c r="B100" s="57" t="n">
        <v>4</v>
      </c>
      <c r="C100" s="59" t="inlineStr">
        <is>
          <t>Charge Date</t>
        </is>
      </c>
      <c r="D100" s="59" t="inlineStr">
        <is>
          <t>Physical / Date</t>
        </is>
      </c>
      <c r="E100" s="57" t="inlineStr">
        <is>
          <t>OLTP + OLAP</t>
        </is>
      </c>
      <c r="F100" s="57" t="inlineStr">
        <is>
          <t>Label, Required</t>
        </is>
      </c>
      <c r="G100" s="59" t="inlineStr">
        <is>
          <t>Stores the source date for Charge Date.</t>
        </is>
      </c>
      <c r="H100" s="59" t="inlineStr">
        <is>
          <t>Stored source column; initial value: TODAY()</t>
        </is>
      </c>
    </row>
    <row r="101" ht="15" customHeight="1">
      <c r="A101" s="57" t="inlineStr">
        <is>
          <t>Charges</t>
        </is>
      </c>
      <c r="B101" s="57" t="n">
        <v>5</v>
      </c>
      <c r="C101" s="59" t="inlineStr">
        <is>
          <t>Interest Due</t>
        </is>
      </c>
      <c r="D101" s="59" t="inlineStr">
        <is>
          <t>Physical / Price</t>
        </is>
      </c>
      <c r="E101" s="57" t="inlineStr">
        <is>
          <t>OLTP + OLAP</t>
        </is>
      </c>
      <c r="F101" s="57" t="inlineStr">
        <is>
          <t>Required</t>
        </is>
      </c>
      <c r="G101" s="59" t="inlineStr">
        <is>
          <t>Stores the financially material source value for Interest Due.</t>
        </is>
      </c>
      <c r="H101" s="59" t="inlineStr">
        <is>
          <t>Stored source column; initial value: 0; OLTP Valid_If: OR([Principal Due] &lt;&gt; 0, [_THIS] &lt;&gt; 0)</t>
        </is>
      </c>
    </row>
    <row r="102" ht="15" customHeight="1">
      <c r="A102" s="57" t="inlineStr">
        <is>
          <t>Charges</t>
        </is>
      </c>
      <c r="B102" s="57" t="n">
        <v>6</v>
      </c>
      <c r="C102" s="59" t="inlineStr">
        <is>
          <t>Principal Due</t>
        </is>
      </c>
      <c r="D102" s="59" t="inlineStr">
        <is>
          <t>Physical / Price</t>
        </is>
      </c>
      <c r="E102" s="57" t="inlineStr">
        <is>
          <t>OLTP + OLAP</t>
        </is>
      </c>
      <c r="F102" s="57" t="inlineStr">
        <is>
          <t>Required</t>
        </is>
      </c>
      <c r="G102" s="59" t="inlineStr">
        <is>
          <t>Stores the financially material source value for Principal Due.</t>
        </is>
      </c>
      <c r="H102" s="59" t="inlineStr">
        <is>
          <t>Stored source column; initial value: 0; OLTP Valid_If: [_THIS] &gt;= 0</t>
        </is>
      </c>
    </row>
    <row r="103" ht="15" customHeight="1">
      <c r="A103" s="57" t="inlineStr">
        <is>
          <t>Charges</t>
        </is>
      </c>
      <c r="B103" s="57" t="n">
        <v>7</v>
      </c>
      <c r="C103" s="59" t="inlineStr">
        <is>
          <t>Notes</t>
        </is>
      </c>
      <c r="D103" s="59" t="inlineStr">
        <is>
          <t>Physical / LongText</t>
        </is>
      </c>
      <c r="E103" s="57" t="inlineStr">
        <is>
          <t>OLTP + OLAP</t>
        </is>
      </c>
      <c r="F103" s="57" t="inlineStr">
        <is>
          <t>-</t>
        </is>
      </c>
      <c r="G103" s="59" t="inlineStr">
        <is>
          <t>Stores the authoritative source value for Notes.</t>
        </is>
      </c>
      <c r="H103" s="59" t="inlineStr">
        <is>
          <t>Stored source column</t>
        </is>
      </c>
    </row>
    <row r="104" ht="15" customHeight="1">
      <c r="A104" s="57" t="inlineStr">
        <is>
          <t>Charges</t>
        </is>
      </c>
      <c r="B104" s="57" t="n">
        <v>8</v>
      </c>
      <c r="C104" s="59" t="inlineStr">
        <is>
          <t>Amount Due</t>
        </is>
      </c>
      <c r="D104" s="59" t="inlineStr">
        <is>
          <t>VC / Price</t>
        </is>
      </c>
      <c r="E104" s="57" t="inlineStr">
        <is>
          <t>OLTP + OLAP</t>
        </is>
      </c>
      <c r="F104" s="57" t="inlineStr">
        <is>
          <t>-</t>
        </is>
      </c>
      <c r="G104" s="59" t="inlineStr">
        <is>
          <t>Derived financial aggregate or balance for operational or analytical use.</t>
        </is>
      </c>
      <c r="H104" s="59" t="inlineStr">
        <is>
          <t>[Principal Due] + [Interest Due]</t>
        </is>
      </c>
    </row>
    <row r="105" ht="15" customHeight="1">
      <c r="A105" s="57" t="inlineStr">
        <is>
          <t>Charges</t>
        </is>
      </c>
      <c r="B105" s="57" t="n">
        <v>9</v>
      </c>
      <c r="C105" s="59" t="inlineStr">
        <is>
          <t>Borrower Name</t>
        </is>
      </c>
      <c r="D105" s="59" t="inlineStr">
        <is>
          <t>VC / Name</t>
        </is>
      </c>
      <c r="E105" s="57" t="inlineStr">
        <is>
          <t>OLTP + OLAP</t>
        </is>
      </c>
      <c r="F105" s="57" t="inlineStr">
        <is>
          <t>-</t>
        </is>
      </c>
      <c r="G105" s="59" t="inlineStr">
        <is>
          <t>Derived AppSheet value used by the app workflow, presentation, or reporting model.</t>
        </is>
      </c>
      <c r="H105" s="59" t="inlineStr">
        <is>
          <t>[Ref Loans].[Borrower Name]</t>
        </is>
      </c>
    </row>
    <row r="106" ht="21.60000038146973" customHeight="1">
      <c r="A106" s="57" t="inlineStr">
        <is>
          <t>Charges</t>
        </is>
      </c>
      <c r="B106" s="57" t="n">
        <v>10</v>
      </c>
      <c r="C106" s="59" t="inlineStr">
        <is>
          <t>Related Repayments</t>
        </is>
      </c>
      <c r="D106" s="59" t="inlineStr">
        <is>
          <t>VC / List</t>
        </is>
      </c>
      <c r="E106" s="57" t="inlineStr">
        <is>
          <t>OLTP + OLAP</t>
        </is>
      </c>
      <c r="F106" s="57" t="inlineStr">
        <is>
          <t>-</t>
        </is>
      </c>
      <c r="G106" s="59" t="inlineStr">
        <is>
          <t>Reverse-reference list of child rows that point to this record.</t>
        </is>
      </c>
      <c r="H106" s="59" t="inlineStr">
        <is>
          <t>REF_ROWS("Repayments", "Ref Charges")</t>
        </is>
      </c>
    </row>
    <row r="107" ht="15" customHeight="1">
      <c r="A107" s="57" t="inlineStr">
        <is>
          <t>Charges</t>
        </is>
      </c>
      <c r="B107" s="57" t="n">
        <v>11</v>
      </c>
      <c r="C107" s="59" t="inlineStr">
        <is>
          <t>Payment Status</t>
        </is>
      </c>
      <c r="D107" s="59" t="inlineStr">
        <is>
          <t>VC / Text</t>
        </is>
      </c>
      <c r="E107" s="57" t="inlineStr">
        <is>
          <t>OLTP + OLAP</t>
        </is>
      </c>
      <c r="F107" s="57" t="inlineStr">
        <is>
          <t>-</t>
        </is>
      </c>
      <c r="G107" s="59" t="inlineStr">
        <is>
          <t>Derived business-state or risk indicator.</t>
        </is>
      </c>
      <c r="H107" s="59" t="inlineStr">
        <is>
          <t>IFS( [Ref Loans].[Loan Status] = "ปิดยอดแล้ว", "ชำระแล้ว", [Total Paid] = 0, "รอชำระ", [Amount Remaining] &gt; 0, "ชำระบางส่วน", TRUE, "ชำระแล้ว")</t>
        </is>
      </c>
    </row>
    <row r="108" ht="15" customHeight="1">
      <c r="A108" s="57" t="inlineStr">
        <is>
          <t>Charges</t>
        </is>
      </c>
      <c r="B108" s="57" t="n">
        <v>12</v>
      </c>
      <c r="C108" s="59" t="inlineStr">
        <is>
          <t>Payment Date</t>
        </is>
      </c>
      <c r="D108" s="59" t="inlineStr">
        <is>
          <t>VC / Date</t>
        </is>
      </c>
      <c r="E108" s="57" t="inlineStr">
        <is>
          <t>OLTP + OLAP</t>
        </is>
      </c>
      <c r="F108" s="57" t="inlineStr">
        <is>
          <t>-</t>
        </is>
      </c>
      <c r="G108" s="59" t="inlineStr">
        <is>
          <t>Date on which the charge became fully paid. Display name in both apps: วันที่ชำระครบ / Paid in Full Date.</t>
        </is>
      </c>
      <c r="H108" s="59" t="inlineStr">
        <is>
          <t>IF([Payment Status] = "ชำระแล้ว", MAX([Related Repayments][Payment Date]), "")</t>
        </is>
      </c>
    </row>
    <row r="109" ht="21.60000038146973" customHeight="1">
      <c r="A109" s="57" t="inlineStr">
        <is>
          <t>Charges</t>
        </is>
      </c>
      <c r="B109" s="57" t="n">
        <v>13</v>
      </c>
      <c r="C109" s="59" t="inlineStr">
        <is>
          <t>Borrower Name TE</t>
        </is>
      </c>
      <c r="D109" s="59" t="inlineStr">
        <is>
          <t>VC / Text</t>
        </is>
      </c>
      <c r="E109" s="57" t="inlineStr">
        <is>
          <t>OLTP + OLAP</t>
        </is>
      </c>
      <c r="F109" s="57" t="inlineStr">
        <is>
          <t>-</t>
        </is>
      </c>
      <c r="G109" s="59" t="inlineStr">
        <is>
          <t>Presentation-oriented label or bilingual display value.</t>
        </is>
      </c>
      <c r="H109" s="59" t="inlineStr">
        <is>
          <t>[Ref Loans].[Borrower Name TE]</t>
        </is>
      </c>
    </row>
    <row r="110" ht="15" customHeight="1">
      <c r="A110" s="57" t="inlineStr">
        <is>
          <t>Charges</t>
        </is>
      </c>
      <c r="B110" s="57" t="n">
        <v>14</v>
      </c>
      <c r="C110" s="59" t="inlineStr">
        <is>
          <t>Payment Status TE</t>
        </is>
      </c>
      <c r="D110" s="59" t="inlineStr">
        <is>
          <t>VC / Text</t>
        </is>
      </c>
      <c r="E110" s="57" t="inlineStr">
        <is>
          <t>OLTP + OLAP</t>
        </is>
      </c>
      <c r="F110" s="57" t="inlineStr">
        <is>
          <t>-</t>
        </is>
      </c>
      <c r="G110" s="59" t="inlineStr">
        <is>
          <t>Presentation-oriented label or bilingual display value.</t>
        </is>
      </c>
      <c r="H110" s="59" t="inlineStr">
        <is>
          <t>IFS( [Payment Status] = "ชำระแล้ว", "ชำระแล้ว / Payment Received", [Payment Status] = "รอชำระ", "รอชำระ / Pending Payment", TRUE, "ชำระบางส่วน / Partial Payment")</t>
        </is>
      </c>
    </row>
    <row r="111" ht="15" customHeight="1">
      <c r="A111" s="57" t="inlineStr">
        <is>
          <t>Charges</t>
        </is>
      </c>
      <c r="B111" s="57" t="n">
        <v>15</v>
      </c>
      <c r="C111" s="59" t="inlineStr">
        <is>
          <t>Principal Paid</t>
        </is>
      </c>
      <c r="D111" s="59" t="inlineStr">
        <is>
          <t>VC / Price</t>
        </is>
      </c>
      <c r="E111" s="57" t="inlineStr">
        <is>
          <t>OLTP + OLAP</t>
        </is>
      </c>
      <c r="F111" s="57" t="inlineStr">
        <is>
          <t>-</t>
        </is>
      </c>
      <c r="G111" s="59" t="inlineStr">
        <is>
          <t>Derived financial aggregate or balance for operational or analytical use.</t>
        </is>
      </c>
      <c r="H111" s="59" t="inlineStr">
        <is>
          <t>SUM([Related Repayments][Principal Paid])</t>
        </is>
      </c>
    </row>
    <row r="112" ht="15" customHeight="1">
      <c r="A112" s="57" t="inlineStr">
        <is>
          <t>Charges</t>
        </is>
      </c>
      <c r="B112" s="57" t="n">
        <v>16</v>
      </c>
      <c r="C112" s="59" t="inlineStr">
        <is>
          <t>Interest Paid</t>
        </is>
      </c>
      <c r="D112" s="59" t="inlineStr">
        <is>
          <t>VC / Price</t>
        </is>
      </c>
      <c r="E112" s="57" t="inlineStr">
        <is>
          <t>OLTP + OLAP</t>
        </is>
      </c>
      <c r="F112" s="57" t="inlineStr">
        <is>
          <t>-</t>
        </is>
      </c>
      <c r="G112" s="59" t="inlineStr">
        <is>
          <t>Derived financial aggregate or balance for operational or analytical use.</t>
        </is>
      </c>
      <c r="H112" s="59" t="inlineStr">
        <is>
          <t>SUM([Related Repayments][Interest Paid])</t>
        </is>
      </c>
    </row>
    <row r="113" ht="15" customHeight="1">
      <c r="A113" s="57" t="inlineStr">
        <is>
          <t>Charges</t>
        </is>
      </c>
      <c r="B113" s="57" t="n">
        <v>17</v>
      </c>
      <c r="C113" s="59" t="inlineStr">
        <is>
          <t>Total Paid</t>
        </is>
      </c>
      <c r="D113" s="59" t="inlineStr">
        <is>
          <t>VC / Price</t>
        </is>
      </c>
      <c r="E113" s="57" t="inlineStr">
        <is>
          <t>OLTP + OLAP</t>
        </is>
      </c>
      <c r="F113" s="57" t="inlineStr">
        <is>
          <t>-</t>
        </is>
      </c>
      <c r="G113" s="59" t="inlineStr">
        <is>
          <t>Derived AppSheet value used by the app workflow, presentation, or reporting model.</t>
        </is>
      </c>
      <c r="H113" s="59" t="inlineStr">
        <is>
          <t>[Principal Paid] + [Interest Paid]</t>
        </is>
      </c>
    </row>
    <row r="114" ht="15" customHeight="1">
      <c r="A114" s="57" t="inlineStr">
        <is>
          <t>Charges</t>
        </is>
      </c>
      <c r="B114" s="57" t="n">
        <v>18</v>
      </c>
      <c r="C114" s="59" t="inlineStr">
        <is>
          <t>Principal Remaining</t>
        </is>
      </c>
      <c r="D114" s="59" t="inlineStr">
        <is>
          <t>VC / Price</t>
        </is>
      </c>
      <c r="E114" s="57" t="inlineStr">
        <is>
          <t>OLTP + OLAP</t>
        </is>
      </c>
      <c r="F114" s="57" t="inlineStr">
        <is>
          <t>-</t>
        </is>
      </c>
      <c r="G114" s="59" t="inlineStr">
        <is>
          <t>Derived financial aggregate or balance for operational or analytical use.</t>
        </is>
      </c>
      <c r="H114" s="59" t="inlineStr">
        <is>
          <t>[Principal Due] - [Principal Paid]</t>
        </is>
      </c>
    </row>
    <row r="115" ht="15" customHeight="1">
      <c r="A115" s="57" t="inlineStr">
        <is>
          <t>Charges</t>
        </is>
      </c>
      <c r="B115" s="57" t="n">
        <v>19</v>
      </c>
      <c r="C115" s="59" t="inlineStr">
        <is>
          <t>Interest Remaining</t>
        </is>
      </c>
      <c r="D115" s="59" t="inlineStr">
        <is>
          <t>VC / Price</t>
        </is>
      </c>
      <c r="E115" s="57" t="inlineStr">
        <is>
          <t>OLTP + OLAP</t>
        </is>
      </c>
      <c r="F115" s="57" t="inlineStr">
        <is>
          <t>-</t>
        </is>
      </c>
      <c r="G115" s="59" t="inlineStr">
        <is>
          <t>Derived financial aggregate or balance for operational or analytical use.</t>
        </is>
      </c>
      <c r="H115" s="59" t="inlineStr">
        <is>
          <t>[Interest Due] - [Interest Paid]</t>
        </is>
      </c>
    </row>
    <row r="116" ht="15" customHeight="1">
      <c r="A116" s="57" t="inlineStr">
        <is>
          <t>Charges</t>
        </is>
      </c>
      <c r="B116" s="57" t="n">
        <v>20</v>
      </c>
      <c r="C116" s="59" t="inlineStr">
        <is>
          <t>Amount Remaining</t>
        </is>
      </c>
      <c r="D116" s="59" t="inlineStr">
        <is>
          <t>VC / Price</t>
        </is>
      </c>
      <c r="E116" s="57" t="inlineStr">
        <is>
          <t>OLTP + OLAP</t>
        </is>
      </c>
      <c r="F116" s="57" t="inlineStr">
        <is>
          <t>-</t>
        </is>
      </c>
      <c r="G116" s="59" t="inlineStr">
        <is>
          <t>Derived financial aggregate or balance for operational or analytical use.</t>
        </is>
      </c>
      <c r="H116" s="59" t="inlineStr">
        <is>
          <t>[Principal Remaining] + [Interest Remaining]</t>
        </is>
      </c>
    </row>
    <row r="117" ht="15" customHeight="1">
      <c r="A117" s="57" t="inlineStr">
        <is>
          <t>Charges</t>
        </is>
      </c>
      <c r="B117" s="57" t="n">
        <v>21</v>
      </c>
      <c r="C117" s="59" t="inlineStr">
        <is>
          <t>Last Payment Date</t>
        </is>
      </c>
      <c r="D117" s="59" t="inlineStr">
        <is>
          <t>VC / Date</t>
        </is>
      </c>
      <c r="E117" s="57" t="inlineStr">
        <is>
          <t>OLAP only</t>
        </is>
      </c>
      <c r="F117" s="57" t="inlineStr">
        <is>
          <t>-</t>
        </is>
      </c>
      <c r="G117" s="59" t="inlineStr">
        <is>
          <t>Derived date, time-window, age, or delinquency measure.</t>
        </is>
      </c>
      <c r="H117" s="59" t="inlineStr">
        <is>
          <t>IF(COUNT([Related Repayments]) &gt; 0, MAX([Related Repayments][Payment Date]), "")</t>
        </is>
      </c>
    </row>
    <row r="118" ht="21.60000038146973" customHeight="1">
      <c r="A118" s="57" t="inlineStr">
        <is>
          <t>Charges</t>
        </is>
      </c>
      <c r="B118" s="57" t="n">
        <v>22</v>
      </c>
      <c r="C118" s="59" t="inlineStr">
        <is>
          <t>First Payment Date</t>
        </is>
      </c>
      <c r="D118" s="59" t="inlineStr">
        <is>
          <t>VC / Date</t>
        </is>
      </c>
      <c r="E118" s="57" t="inlineStr">
        <is>
          <t>OLAP only</t>
        </is>
      </c>
      <c r="F118" s="57" t="inlineStr">
        <is>
          <t>-</t>
        </is>
      </c>
      <c r="G118" s="59" t="inlineStr">
        <is>
          <t>Derived date, time-window, age, or delinquency measure.</t>
        </is>
      </c>
      <c r="H118" s="59" t="inlineStr">
        <is>
          <t>MIN([Related Repayments][Payment Date])</t>
        </is>
      </c>
    </row>
    <row r="119" ht="15" customHeight="1">
      <c r="A119" s="57" t="inlineStr">
        <is>
          <t>Charges</t>
        </is>
      </c>
      <c r="B119" s="57" t="n">
        <v>23</v>
      </c>
      <c r="C119" s="59" t="inlineStr">
        <is>
          <t>Days Late</t>
        </is>
      </c>
      <c r="D119" s="59" t="inlineStr">
        <is>
          <t>VC / Number</t>
        </is>
      </c>
      <c r="E119" s="57" t="inlineStr">
        <is>
          <t>OLAP only</t>
        </is>
      </c>
      <c r="F119" s="57" t="inlineStr">
        <is>
          <t>-</t>
        </is>
      </c>
      <c r="G119" s="59" t="inlineStr">
        <is>
          <t>Derived business-state or risk indicator.</t>
        </is>
      </c>
      <c r="H119" s="59" t="inlineStr">
        <is>
          <t>IFS(AND([Payment Status] = "ชำระแล้ว", ISNOTBLANK([Payment Date])), MAX(LIST(0, FLOOR(TOTALHOURS([Payment Date] - [Charge Date]) / 24))), [Charge Date] &lt; TODAY(), FLOOR(TOTALHOURS(TODAY() - [Charge Date]) / 24), TRUE, 0)</t>
        </is>
      </c>
    </row>
    <row r="120" ht="15" customHeight="1">
      <c r="A120" s="57" t="inlineStr">
        <is>
          <t>Charges</t>
        </is>
      </c>
      <c r="B120" s="57" t="n">
        <v>24</v>
      </c>
      <c r="C120" s="59" t="inlineStr">
        <is>
          <t>Historical On Time</t>
        </is>
      </c>
      <c r="D120" s="59" t="inlineStr">
        <is>
          <t>VC / Yes/No</t>
        </is>
      </c>
      <c r="E120" s="57" t="inlineStr">
        <is>
          <t>OLAP only</t>
        </is>
      </c>
      <c r="F120" s="57" t="inlineStr">
        <is>
          <t>-</t>
        </is>
      </c>
      <c r="G120" s="59" t="inlineStr">
        <is>
          <t>Derived business-state or risk indicator.</t>
        </is>
      </c>
      <c r="H120" s="59" t="inlineStr">
        <is>
          <t>AND([Charge Date] &lt; TODAY(), [Payment Status] = "ชำระแล้ว", [Days Late] = 0)</t>
        </is>
      </c>
    </row>
    <row r="121" ht="15" customHeight="1">
      <c r="A121" s="57" t="inlineStr">
        <is>
          <t>Charges</t>
        </is>
      </c>
      <c r="B121" s="57" t="n">
        <v>25</v>
      </c>
      <c r="C121" s="59" t="inlineStr">
        <is>
          <t>Historical Late</t>
        </is>
      </c>
      <c r="D121" s="59" t="inlineStr">
        <is>
          <t>VC / Yes/No</t>
        </is>
      </c>
      <c r="E121" s="57" t="inlineStr">
        <is>
          <t>OLAP only</t>
        </is>
      </c>
      <c r="F121" s="57" t="inlineStr">
        <is>
          <t>-</t>
        </is>
      </c>
      <c r="G121" s="59" t="inlineStr">
        <is>
          <t>Derived business-state or risk indicator.</t>
        </is>
      </c>
      <c r="H121" s="59" t="inlineStr">
        <is>
          <t>AND([Charge Date] &lt; TODAY(), [Days Late] &gt; 0)</t>
        </is>
      </c>
    </row>
    <row r="122" ht="15" customHeight="1">
      <c r="A122" s="57" t="inlineStr">
        <is>
          <t>Charges</t>
        </is>
      </c>
      <c r="B122" s="57" t="n">
        <v>26</v>
      </c>
      <c r="C122" s="59" t="inlineStr">
        <is>
          <t>Payment Count</t>
        </is>
      </c>
      <c r="D122" s="59" t="inlineStr">
        <is>
          <t>VC / Number</t>
        </is>
      </c>
      <c r="E122" s="57" t="inlineStr">
        <is>
          <t>OLTP only</t>
        </is>
      </c>
      <c r="F122" s="57" t="inlineStr">
        <is>
          <t>-</t>
        </is>
      </c>
      <c r="G122" s="59" t="inlineStr">
        <is>
          <t>Derived count used for workload, portfolio, or risk analysis.</t>
        </is>
      </c>
      <c r="H122" s="59" t="inlineStr">
        <is>
          <t>COUNT([Related Repayments])</t>
        </is>
      </c>
    </row>
    <row r="123" ht="15" customHeight="1">
      <c r="A123" s="57" t="inlineStr">
        <is>
          <t>Charges</t>
        </is>
      </c>
      <c r="B123" s="57" t="n">
        <v>27</v>
      </c>
      <c r="C123" s="59" t="inlineStr">
        <is>
          <t>Days Outstanding</t>
        </is>
      </c>
      <c r="D123" s="59" t="inlineStr">
        <is>
          <t>VC / Number</t>
        </is>
      </c>
      <c r="E123" s="57" t="inlineStr">
        <is>
          <t>OLTP only</t>
        </is>
      </c>
      <c r="F123" s="57" t="inlineStr">
        <is>
          <t>-</t>
        </is>
      </c>
      <c r="G123" s="59" t="inlineStr">
        <is>
          <t>Derived date, time-window, age, or delinquency measure.</t>
        </is>
      </c>
      <c r="H123" s="59" t="inlineStr">
        <is>
          <t>FLOOR( TOTALHOURS( IF( [Payment Status] = "ชำระแล้ว", [Payment Date] - [Charge Date], TODAY() - [Charge Date] ) ) / 24)</t>
        </is>
      </c>
    </row>
    <row r="124" ht="15" customHeight="1">
      <c r="A124" s="57" t="inlineStr">
        <is>
          <t>Daily Analytics</t>
        </is>
      </c>
      <c r="B124" s="57" t="n">
        <v>1</v>
      </c>
      <c r="C124" s="59" t="inlineStr">
        <is>
          <t>_RowNumber</t>
        </is>
      </c>
      <c r="D124" s="59" t="inlineStr">
        <is>
          <t>Physical / Number</t>
        </is>
      </c>
      <c r="E124" s="57" t="inlineStr">
        <is>
          <t>OLAP only</t>
        </is>
      </c>
      <c r="F124" s="57" t="inlineStr">
        <is>
          <t>-</t>
        </is>
      </c>
      <c r="G124" s="59" t="inlineStr">
        <is>
          <t>System-generated source-row ordinal; not a stable business key.</t>
        </is>
      </c>
      <c r="H124" s="59" t="inlineStr">
        <is>
          <t>Stored source column</t>
        </is>
      </c>
    </row>
    <row r="125" ht="15" customHeight="1">
      <c r="A125" s="57" t="inlineStr">
        <is>
          <t>Daily Analytics</t>
        </is>
      </c>
      <c r="B125" s="57" t="n">
        <v>2</v>
      </c>
      <c r="C125" s="59" t="inlineStr">
        <is>
          <t>Row ID</t>
        </is>
      </c>
      <c r="D125" s="59" t="inlineStr">
        <is>
          <t>Physical / Text</t>
        </is>
      </c>
      <c r="E125" s="57" t="inlineStr">
        <is>
          <t>OLAP only</t>
        </is>
      </c>
      <c r="F125" s="57" t="inlineStr">
        <is>
          <t>Key, Required</t>
        </is>
      </c>
      <c r="G125" s="59" t="inlineStr">
        <is>
          <t>Immutable row key generated by the source database.</t>
        </is>
      </c>
      <c r="H125" s="59" t="inlineStr">
        <is>
          <t>Stored source column; initial value: UNIQUEID("PackedUUID")</t>
        </is>
      </c>
    </row>
    <row r="126" ht="15" customHeight="1">
      <c r="A126" s="57" t="inlineStr">
        <is>
          <t>Daily Analytics</t>
        </is>
      </c>
      <c r="B126" s="57" t="n">
        <v>3</v>
      </c>
      <c r="C126" s="59" t="inlineStr">
        <is>
          <t>Snapshot Date</t>
        </is>
      </c>
      <c r="D126" s="59" t="inlineStr">
        <is>
          <t>Physical / Date</t>
        </is>
      </c>
      <c r="E126" s="57" t="inlineStr">
        <is>
          <t>OLAP only</t>
        </is>
      </c>
      <c r="F126" s="57" t="inlineStr">
        <is>
          <t>Label</t>
        </is>
      </c>
      <c r="G126" s="59" t="inlineStr">
        <is>
          <t>Stores the source date for Snapshot Date.</t>
        </is>
      </c>
      <c r="H126" s="59" t="inlineStr">
        <is>
          <t>Stored source column; initial value: TODAY()</t>
        </is>
      </c>
    </row>
    <row r="127" ht="15" customHeight="1">
      <c r="A127" s="57" t="inlineStr">
        <is>
          <t>Daily Analytics</t>
        </is>
      </c>
      <c r="B127" s="57" t="n">
        <v>4</v>
      </c>
      <c r="C127" s="59" t="inlineStr">
        <is>
          <t>Generated At</t>
        </is>
      </c>
      <c r="D127" s="59" t="inlineStr">
        <is>
          <t>Physical / DateTime</t>
        </is>
      </c>
      <c r="E127" s="57" t="inlineStr">
        <is>
          <t>OLAP only</t>
        </is>
      </c>
      <c r="F127" s="57" t="inlineStr">
        <is>
          <t>-</t>
        </is>
      </c>
      <c r="G127" s="59" t="inlineStr">
        <is>
          <t>Stores the authoritative source value for Generated At.</t>
        </is>
      </c>
      <c r="H127" s="59" t="inlineStr">
        <is>
          <t>Stored source column; initial value: NOW()</t>
        </is>
      </c>
    </row>
    <row r="128" ht="15" customHeight="1">
      <c r="A128" s="57" t="inlineStr">
        <is>
          <t>Daily Analytics</t>
        </is>
      </c>
      <c r="B128" s="57" t="n">
        <v>5</v>
      </c>
      <c r="C128" s="59" t="inlineStr">
        <is>
          <t>Model Version</t>
        </is>
      </c>
      <c r="D128" s="59" t="inlineStr">
        <is>
          <t>Physical / Number</t>
        </is>
      </c>
      <c r="E128" s="57" t="inlineStr">
        <is>
          <t>OLAP only</t>
        </is>
      </c>
      <c r="F128" s="57" t="inlineStr">
        <is>
          <t>-</t>
        </is>
      </c>
      <c r="G128" s="59" t="inlineStr">
        <is>
          <t>Stores the authoritative source value for Model Version.</t>
        </is>
      </c>
      <c r="H128" s="59" t="inlineStr">
        <is>
          <t>Stored source column</t>
        </is>
      </c>
    </row>
    <row r="129" ht="15" customHeight="1">
      <c r="A129" s="57" t="inlineStr">
        <is>
          <t>Daily Analytics</t>
        </is>
      </c>
      <c r="B129" s="57" t="n">
        <v>6</v>
      </c>
      <c r="C129" s="59" t="inlineStr">
        <is>
          <t>Principal Issued</t>
        </is>
      </c>
      <c r="D129" s="59" t="inlineStr">
        <is>
          <t>Physical / Price</t>
        </is>
      </c>
      <c r="E129" s="57" t="inlineStr">
        <is>
          <t>OLAP only</t>
        </is>
      </c>
      <c r="F129" s="57" t="inlineStr">
        <is>
          <t>-</t>
        </is>
      </c>
      <c r="G129" s="59" t="inlineStr">
        <is>
          <t>Stores the financially material source value for Principal Issued.</t>
        </is>
      </c>
      <c r="H129" s="59" t="inlineStr">
        <is>
          <t>Stored source column</t>
        </is>
      </c>
    </row>
    <row r="130" ht="15" customHeight="1">
      <c r="A130" s="57" t="inlineStr">
        <is>
          <t>Daily Analytics</t>
        </is>
      </c>
      <c r="B130" s="57" t="n">
        <v>7</v>
      </c>
      <c r="C130" s="59" t="inlineStr">
        <is>
          <t>Loans Issued</t>
        </is>
      </c>
      <c r="D130" s="59" t="inlineStr">
        <is>
          <t>Physical / Number</t>
        </is>
      </c>
      <c r="E130" s="57" t="inlineStr">
        <is>
          <t>OLAP only</t>
        </is>
      </c>
      <c r="F130" s="57" t="inlineStr">
        <is>
          <t>-</t>
        </is>
      </c>
      <c r="G130" s="59" t="inlineStr">
        <is>
          <t>Stores the authoritative source value for Loans Issued.</t>
        </is>
      </c>
      <c r="H130" s="59" t="inlineStr">
        <is>
          <t>Stored source column</t>
        </is>
      </c>
    </row>
    <row r="131" ht="15" customHeight="1">
      <c r="A131" s="57" t="inlineStr">
        <is>
          <t>Daily Analytics</t>
        </is>
      </c>
      <c r="B131" s="57" t="n">
        <v>8</v>
      </c>
      <c r="C131" s="59" t="inlineStr">
        <is>
          <t>Principal Returned</t>
        </is>
      </c>
      <c r="D131" s="59" t="inlineStr">
        <is>
          <t>Physical / Price</t>
        </is>
      </c>
      <c r="E131" s="57" t="inlineStr">
        <is>
          <t>OLAP only</t>
        </is>
      </c>
      <c r="F131" s="57" t="inlineStr">
        <is>
          <t>-</t>
        </is>
      </c>
      <c r="G131" s="59" t="inlineStr">
        <is>
          <t>Stores the financially material source value for Principal Returned.</t>
        </is>
      </c>
      <c r="H131" s="59" t="inlineStr">
        <is>
          <t>Stored source column</t>
        </is>
      </c>
    </row>
    <row r="132" ht="15" customHeight="1">
      <c r="A132" s="57" t="inlineStr">
        <is>
          <t>Daily Analytics</t>
        </is>
      </c>
      <c r="B132" s="57" t="n">
        <v>9</v>
      </c>
      <c r="C132" s="59" t="inlineStr">
        <is>
          <t>Interest Received</t>
        </is>
      </c>
      <c r="D132" s="59" t="inlineStr">
        <is>
          <t>Physical / Price</t>
        </is>
      </c>
      <c r="E132" s="57" t="inlineStr">
        <is>
          <t>OLAP only</t>
        </is>
      </c>
      <c r="F132" s="57" t="inlineStr">
        <is>
          <t>-</t>
        </is>
      </c>
      <c r="G132" s="59" t="inlineStr">
        <is>
          <t>Stores the financially material source value for Interest Received.</t>
        </is>
      </c>
      <c r="H132" s="59" t="inlineStr">
        <is>
          <t>Stored source column</t>
        </is>
      </c>
    </row>
    <row r="133" ht="15" customHeight="1">
      <c r="A133" s="57" t="inlineStr">
        <is>
          <t>Daily Analytics</t>
        </is>
      </c>
      <c r="B133" s="57" t="n">
        <v>10</v>
      </c>
      <c r="C133" s="59" t="inlineStr">
        <is>
          <t>Repayments Count</t>
        </is>
      </c>
      <c r="D133" s="59" t="inlineStr">
        <is>
          <t>Physical / Number</t>
        </is>
      </c>
      <c r="E133" s="57" t="inlineStr">
        <is>
          <t>OLAP only</t>
        </is>
      </c>
      <c r="F133" s="57" t="inlineStr">
        <is>
          <t>-</t>
        </is>
      </c>
      <c r="G133" s="59" t="inlineStr">
        <is>
          <t>Stores the authoritative source value for Repayments Count.</t>
        </is>
      </c>
      <c r="H133" s="59" t="inlineStr">
        <is>
          <t>Stored source column</t>
        </is>
      </c>
    </row>
    <row r="134" ht="15" customHeight="1">
      <c r="A134" s="57" t="inlineStr">
        <is>
          <t>Daily Analytics</t>
        </is>
      </c>
      <c r="B134" s="57" t="n">
        <v>11</v>
      </c>
      <c r="C134" s="59" t="inlineStr">
        <is>
          <t>Outstanding Principal EOD</t>
        </is>
      </c>
      <c r="D134" s="59" t="inlineStr">
        <is>
          <t>Physical / Price</t>
        </is>
      </c>
      <c r="E134" s="57" t="inlineStr">
        <is>
          <t>OLAP only</t>
        </is>
      </c>
      <c r="F134" s="57" t="inlineStr">
        <is>
          <t>-</t>
        </is>
      </c>
      <c r="G134" s="59" t="inlineStr">
        <is>
          <t>Stores the financially material source value for Outstanding Principal EOD.</t>
        </is>
      </c>
      <c r="H134" s="59" t="inlineStr">
        <is>
          <t>Stored source column</t>
        </is>
      </c>
    </row>
    <row r="135" ht="15" customHeight="1">
      <c r="A135" s="57" t="inlineStr">
        <is>
          <t>Daily Analytics</t>
        </is>
      </c>
      <c r="B135" s="57" t="n">
        <v>12</v>
      </c>
      <c r="C135" s="59" t="inlineStr">
        <is>
          <t>Active Loans EOD</t>
        </is>
      </c>
      <c r="D135" s="59" t="inlineStr">
        <is>
          <t>Physical / Number</t>
        </is>
      </c>
      <c r="E135" s="57" t="inlineStr">
        <is>
          <t>OLAP only</t>
        </is>
      </c>
      <c r="F135" s="57" t="inlineStr">
        <is>
          <t>-</t>
        </is>
      </c>
      <c r="G135" s="59" t="inlineStr">
        <is>
          <t>Stores the authoritative source value for Active Loans EOD.</t>
        </is>
      </c>
      <c r="H135" s="59" t="inlineStr">
        <is>
          <t>Stored source column</t>
        </is>
      </c>
    </row>
    <row r="136" ht="15" customHeight="1">
      <c r="A136" s="57" t="inlineStr">
        <is>
          <t>Daily Analytics</t>
        </is>
      </c>
      <c r="B136" s="57" t="n">
        <v>13</v>
      </c>
      <c r="C136" s="59" t="inlineStr">
        <is>
          <t>Active Borrowers EOD</t>
        </is>
      </c>
      <c r="D136" s="59" t="inlineStr">
        <is>
          <t>Physical / Number</t>
        </is>
      </c>
      <c r="E136" s="57" t="inlineStr">
        <is>
          <t>OLAP only</t>
        </is>
      </c>
      <c r="F136" s="57" t="inlineStr">
        <is>
          <t>-</t>
        </is>
      </c>
      <c r="G136" s="59" t="inlineStr">
        <is>
          <t>Stores the authoritative source value for Active Borrowers EOD.</t>
        </is>
      </c>
      <c r="H136" s="59" t="inlineStr">
        <is>
          <t>Stored source column</t>
        </is>
      </c>
    </row>
    <row r="137" ht="15" customHeight="1">
      <c r="A137" s="57" t="inlineStr">
        <is>
          <t>Daily Analytics</t>
        </is>
      </c>
      <c r="B137" s="57" t="n">
        <v>14</v>
      </c>
      <c r="C137" s="59" t="inlineStr">
        <is>
          <t>Pending Charges EOD</t>
        </is>
      </c>
      <c r="D137" s="59" t="inlineStr">
        <is>
          <t>Physical / Price</t>
        </is>
      </c>
      <c r="E137" s="57" t="inlineStr">
        <is>
          <t>OLAP only</t>
        </is>
      </c>
      <c r="F137" s="57" t="inlineStr">
        <is>
          <t>-</t>
        </is>
      </c>
      <c r="G137" s="59" t="inlineStr">
        <is>
          <t>Stores the authoritative source value for Pending Charges EOD.</t>
        </is>
      </c>
      <c r="H137" s="59" t="inlineStr">
        <is>
          <t>Stored source column</t>
        </is>
      </c>
    </row>
    <row r="138" ht="15" customHeight="1">
      <c r="A138" s="57" t="inlineStr">
        <is>
          <t>Daily Analytics</t>
        </is>
      </c>
      <c r="B138" s="57" t="n">
        <v>15</v>
      </c>
      <c r="C138" s="59" t="inlineStr">
        <is>
          <t>Total Cash Pool EOD</t>
        </is>
      </c>
      <c r="D138" s="59" t="inlineStr">
        <is>
          <t>Physical / Price</t>
        </is>
      </c>
      <c r="E138" s="57" t="inlineStr">
        <is>
          <t>OLAP only</t>
        </is>
      </c>
      <c r="F138" s="57" t="inlineStr">
        <is>
          <t>-</t>
        </is>
      </c>
      <c r="G138" s="59" t="inlineStr">
        <is>
          <t>Stores the financially material source value for Total Cash Pool EOD.</t>
        </is>
      </c>
      <c r="H138" s="59" t="inlineStr">
        <is>
          <t>Stored source column</t>
        </is>
      </c>
    </row>
    <row r="139" ht="15" customHeight="1">
      <c r="A139" s="57" t="inlineStr">
        <is>
          <t>Daily Analytics</t>
        </is>
      </c>
      <c r="B139" s="57" t="n">
        <v>16</v>
      </c>
      <c r="C139" s="59" t="inlineStr">
        <is>
          <t>Available Cash EOD</t>
        </is>
      </c>
      <c r="D139" s="59" t="inlineStr">
        <is>
          <t>Physical / Price</t>
        </is>
      </c>
      <c r="E139" s="57" t="inlineStr">
        <is>
          <t>OLAP only</t>
        </is>
      </c>
      <c r="F139" s="57" t="inlineStr">
        <is>
          <t>-</t>
        </is>
      </c>
      <c r="G139" s="59" t="inlineStr">
        <is>
          <t>Stores the financially material source value for Available Cash EOD.</t>
        </is>
      </c>
      <c r="H139" s="59" t="inlineStr">
        <is>
          <t>Stored source column</t>
        </is>
      </c>
    </row>
    <row r="140" ht="15" customHeight="1">
      <c r="A140" s="57" t="inlineStr">
        <is>
          <t>Daily Analytics</t>
        </is>
      </c>
      <c r="B140" s="57" t="n">
        <v>17</v>
      </c>
      <c r="C140" s="59" t="inlineStr">
        <is>
          <t>Unsettled Profit EOD</t>
        </is>
      </c>
      <c r="D140" s="59" t="inlineStr">
        <is>
          <t>Physical / Price</t>
        </is>
      </c>
      <c r="E140" s="57" t="inlineStr">
        <is>
          <t>OLAP only</t>
        </is>
      </c>
      <c r="F140" s="57" t="inlineStr">
        <is>
          <t>-</t>
        </is>
      </c>
      <c r="G140" s="59" t="inlineStr">
        <is>
          <t>Stores the financially material source value for Unsettled Profit EOD.</t>
        </is>
      </c>
      <c r="H140" s="59" t="inlineStr">
        <is>
          <t>Stored source column</t>
        </is>
      </c>
    </row>
    <row r="141" ht="15" customHeight="1">
      <c r="A141" s="57" t="inlineStr">
        <is>
          <t>Daily Analytics</t>
        </is>
      </c>
      <c r="B141" s="57" t="n">
        <v>18</v>
      </c>
      <c r="C141" s="59" t="inlineStr">
        <is>
          <t>Week</t>
        </is>
      </c>
      <c r="D141" s="59" t="inlineStr">
        <is>
          <t>VC / Text</t>
        </is>
      </c>
      <c r="E141" s="57" t="inlineStr">
        <is>
          <t>OLAP only</t>
        </is>
      </c>
      <c r="F141" s="57" t="inlineStr">
        <is>
          <t>-</t>
        </is>
      </c>
      <c r="G141" s="59" t="inlineStr">
        <is>
          <t>Derived date, time-window, age, or delinquency measure.</t>
        </is>
      </c>
      <c r="H141" s="59" t="inlineStr">
        <is>
          <t>CONCATENATE( YEAR([Snapshot Date]), "-W", WEEKNUM([Snapshot Date]))</t>
        </is>
      </c>
    </row>
    <row r="142" ht="15" customHeight="1">
      <c r="A142" s="57" t="inlineStr">
        <is>
          <t>Daily Analytics</t>
        </is>
      </c>
      <c r="B142" s="57" t="n">
        <v>19</v>
      </c>
      <c r="C142" s="59" t="inlineStr">
        <is>
          <t>Month</t>
        </is>
      </c>
      <c r="D142" s="59" t="inlineStr">
        <is>
          <t>VC / Text</t>
        </is>
      </c>
      <c r="E142" s="57" t="inlineStr">
        <is>
          <t>OLAP only</t>
        </is>
      </c>
      <c r="F142" s="57" t="inlineStr">
        <is>
          <t>-</t>
        </is>
      </c>
      <c r="G142" s="59" t="inlineStr">
        <is>
          <t>Derived date, time-window, age, or delinquency measure.</t>
        </is>
      </c>
      <c r="H142" s="59" t="inlineStr">
        <is>
          <t>CONCATENATE( YEAR([Snapshot Date]), "-", RIGHT( "0" &amp; MONTH([Snapshot Date]), 2 ))</t>
        </is>
      </c>
    </row>
    <row r="143" ht="15" customHeight="1">
      <c r="A143" s="57" t="inlineStr">
        <is>
          <t>Daily Analytics</t>
        </is>
      </c>
      <c r="B143" s="57" t="n">
        <v>20</v>
      </c>
      <c r="C143" s="59" t="inlineStr">
        <is>
          <t>Daily Capital Employed</t>
        </is>
      </c>
      <c r="D143" s="59" t="inlineStr">
        <is>
          <t>VC / Price</t>
        </is>
      </c>
      <c r="E143" s="57" t="inlineStr">
        <is>
          <t>OLAP only</t>
        </is>
      </c>
      <c r="F143" s="57" t="inlineStr">
        <is>
          <t>-</t>
        </is>
      </c>
      <c r="G143" s="59" t="inlineStr">
        <is>
          <t>Derived AppSheet value used by the app workflow, presentation, or reporting model.</t>
        </is>
      </c>
      <c r="H143" s="59" t="inlineStr">
        <is>
          <t>[Outstanding Principal EOD]+[Principal Returned]</t>
        </is>
      </c>
    </row>
    <row r="144" ht="15" customHeight="1">
      <c r="A144" s="57" t="inlineStr">
        <is>
          <t>Daily Analytics</t>
        </is>
      </c>
      <c r="B144" s="57" t="n">
        <v>21</v>
      </c>
      <c r="C144" s="59" t="inlineStr">
        <is>
          <t>Daily Capital Yield</t>
        </is>
      </c>
      <c r="D144" s="59" t="inlineStr">
        <is>
          <t>VC / Percent</t>
        </is>
      </c>
      <c r="E144" s="57" t="inlineStr">
        <is>
          <t>OLAP only</t>
        </is>
      </c>
      <c r="F144" s="57" t="inlineStr">
        <is>
          <t>-</t>
        </is>
      </c>
      <c r="G144" s="59" t="inlineStr">
        <is>
          <t>Derived ratio or performance measure calculated from governed source values.</t>
        </is>
      </c>
      <c r="H144" s="59" t="inlineStr">
        <is>
          <t>IF( [Daily Capital Employed] &gt; 0, [Interest Received] / [Daily Capital Employed], 0)</t>
        </is>
      </c>
    </row>
    <row r="145" ht="15" customHeight="1">
      <c r="A145" s="57" t="inlineStr">
        <is>
          <t>Daily Analytics</t>
        </is>
      </c>
      <c r="B145" s="57" t="n">
        <v>22</v>
      </c>
      <c r="C145" s="59" t="inlineStr">
        <is>
          <t>Portfolio Share Join Key</t>
        </is>
      </c>
      <c r="D145" s="59" t="inlineStr">
        <is>
          <t>VC / Text</t>
        </is>
      </c>
      <c r="E145" s="57" t="inlineStr">
        <is>
          <t>OLAP only</t>
        </is>
      </c>
      <c r="F145" s="57" t="inlineStr">
        <is>
          <t>-</t>
        </is>
      </c>
      <c r="G145" s="59" t="inlineStr">
        <is>
          <t>Derived grouping, ordering, or join value used by reporting or app presentation.</t>
        </is>
      </c>
      <c r="H145" s="59" t="inlineStr">
        <is>
          <t>"Portfolio"</t>
        </is>
      </c>
    </row>
    <row r="146" ht="15" customHeight="1">
      <c r="A146" s="57" t="inlineStr">
        <is>
          <t>Daily Analytics</t>
        </is>
      </c>
      <c r="B146" s="57" t="n">
        <v>23</v>
      </c>
      <c r="C146" s="59" t="inlineStr">
        <is>
          <t>Portfolio Slice</t>
        </is>
      </c>
      <c r="D146" s="59" t="inlineStr">
        <is>
          <t>VC / Text</t>
        </is>
      </c>
      <c r="E146" s="57" t="inlineStr">
        <is>
          <t>OLAP only</t>
        </is>
      </c>
      <c r="F146" s="57" t="inlineStr">
        <is>
          <t>-</t>
        </is>
      </c>
      <c r="G146" s="59" t="inlineStr">
        <is>
          <t>Derived grouping, ordering, or join value used by reporting or app presentation.</t>
        </is>
      </c>
      <c r="H146" s="59" t="inlineStr">
        <is>
          <t>IF(MOD(DAY([Snapshot Date]), 2) = 0, "Selected borrower", "Remaining")</t>
        </is>
      </c>
    </row>
    <row r="147" ht="15" customHeight="1">
      <c r="A147" s="57" t="inlineStr">
        <is>
          <t>Loan Assessment</t>
        </is>
      </c>
      <c r="B147" s="57" t="n">
        <v>1</v>
      </c>
      <c r="C147" s="59" t="inlineStr">
        <is>
          <t>_RowNumber</t>
        </is>
      </c>
      <c r="D147" s="59" t="inlineStr">
        <is>
          <t>Physical / Number</t>
        </is>
      </c>
      <c r="E147" s="57" t="inlineStr">
        <is>
          <t>OLAP only</t>
        </is>
      </c>
      <c r="F147" s="57" t="inlineStr">
        <is>
          <t>-</t>
        </is>
      </c>
      <c r="G147" s="59" t="inlineStr">
        <is>
          <t>System-generated source-row ordinal; not a stable business key.</t>
        </is>
      </c>
      <c r="H147" s="59" t="inlineStr">
        <is>
          <t>Stored source column</t>
        </is>
      </c>
    </row>
    <row r="148" ht="15" customHeight="1">
      <c r="A148" s="57" t="inlineStr">
        <is>
          <t>Loan Assessment</t>
        </is>
      </c>
      <c r="B148" s="57" t="n">
        <v>2</v>
      </c>
      <c r="C148" s="59" t="inlineStr">
        <is>
          <t>Row ID</t>
        </is>
      </c>
      <c r="D148" s="59" t="inlineStr">
        <is>
          <t>Physical / Text</t>
        </is>
      </c>
      <c r="E148" s="57" t="inlineStr">
        <is>
          <t>OLAP only</t>
        </is>
      </c>
      <c r="F148" s="57" t="inlineStr">
        <is>
          <t>Key, Required</t>
        </is>
      </c>
      <c r="G148" s="59" t="inlineStr">
        <is>
          <t>Immutable row key generated by the source database.</t>
        </is>
      </c>
      <c r="H148" s="59" t="inlineStr">
        <is>
          <t>Stored source column; initial value: UNIQUEID("PackedUUID")</t>
        </is>
      </c>
    </row>
    <row r="149" ht="15" customHeight="1">
      <c r="A149" s="57" t="inlineStr">
        <is>
          <t>Loan Assessment</t>
        </is>
      </c>
      <c r="B149" s="57" t="n">
        <v>3</v>
      </c>
      <c r="C149" s="59" t="inlineStr">
        <is>
          <t>Assessment ID</t>
        </is>
      </c>
      <c r="D149" s="59" t="inlineStr">
        <is>
          <t>Physical / Text</t>
        </is>
      </c>
      <c r="E149" s="57" t="inlineStr">
        <is>
          <t>OLAP only</t>
        </is>
      </c>
      <c r="F149" s="57" t="inlineStr">
        <is>
          <t>Label</t>
        </is>
      </c>
      <c r="G149" s="59" t="inlineStr">
        <is>
          <t>Stores the authoritative source value for Assessment ID.</t>
        </is>
      </c>
      <c r="H149" s="59" t="inlineStr">
        <is>
          <t>Stored source column</t>
        </is>
      </c>
    </row>
    <row r="150" ht="15" customHeight="1">
      <c r="A150" s="57" t="inlineStr">
        <is>
          <t>Loan Assessment</t>
        </is>
      </c>
      <c r="B150" s="57" t="n">
        <v>4</v>
      </c>
      <c r="C150" s="59" t="inlineStr">
        <is>
          <t>Ref Borrower</t>
        </is>
      </c>
      <c r="D150" s="59" t="inlineStr">
        <is>
          <t>Physical / Ref</t>
        </is>
      </c>
      <c r="E150" s="57" t="inlineStr">
        <is>
          <t>OLAP only</t>
        </is>
      </c>
      <c r="F150" s="57" t="inlineStr">
        <is>
          <t>-</t>
        </is>
      </c>
      <c r="G150" s="59" t="inlineStr">
        <is>
          <t>Reference key that links this row to the configured parent table.</t>
        </is>
      </c>
      <c r="H150" s="59" t="inlineStr">
        <is>
          <t>Stored source column</t>
        </is>
      </c>
    </row>
    <row r="151" ht="15" customHeight="1">
      <c r="A151" s="57" t="inlineStr">
        <is>
          <t>Loan Assessment</t>
        </is>
      </c>
      <c r="B151" s="57" t="n">
        <v>5</v>
      </c>
      <c r="C151" s="59" t="inlineStr">
        <is>
          <t>Proposed Loan Amount</t>
        </is>
      </c>
      <c r="D151" s="59" t="inlineStr">
        <is>
          <t>Physical / Price</t>
        </is>
      </c>
      <c r="E151" s="57" t="inlineStr">
        <is>
          <t>OLAP only</t>
        </is>
      </c>
      <c r="F151" s="57" t="inlineStr">
        <is>
          <t>-</t>
        </is>
      </c>
      <c r="G151" s="59" t="inlineStr">
        <is>
          <t>Stores the financially material source value for Proposed Loan Amount.</t>
        </is>
      </c>
      <c r="H151" s="59" t="inlineStr">
        <is>
          <t>Stored source column</t>
        </is>
      </c>
    </row>
    <row r="152" ht="21.60000038146973" customHeight="1">
      <c r="A152" s="57" t="inlineStr">
        <is>
          <t>Loan Assessment</t>
        </is>
      </c>
      <c r="B152" s="57" t="n">
        <v>6</v>
      </c>
      <c r="C152" s="59" t="inlineStr">
        <is>
          <t>Minimum Daily Profit Rate</t>
        </is>
      </c>
      <c r="D152" s="59" t="inlineStr">
        <is>
          <t>Physical / Percent</t>
        </is>
      </c>
      <c r="E152" s="57" t="inlineStr">
        <is>
          <t>OLAP only</t>
        </is>
      </c>
      <c r="F152" s="57" t="inlineStr">
        <is>
          <t>-</t>
        </is>
      </c>
      <c r="G152" s="59" t="inlineStr">
        <is>
          <t>Stores the financially material source value for Minimum Daily Profit Rate.</t>
        </is>
      </c>
      <c r="H152" s="59" t="inlineStr">
        <is>
          <t>Stored source column</t>
        </is>
      </c>
    </row>
    <row r="153" ht="21.60000038146973" customHeight="1">
      <c r="A153" s="57" t="inlineStr">
        <is>
          <t>Loan Assessment</t>
        </is>
      </c>
      <c r="B153" s="57" t="n">
        <v>7</v>
      </c>
      <c r="C153" s="59" t="inlineStr">
        <is>
          <t>Current Outstanding Principal</t>
        </is>
      </c>
      <c r="D153" s="59" t="inlineStr">
        <is>
          <t>VC / Price</t>
        </is>
      </c>
      <c r="E153" s="57" t="inlineStr">
        <is>
          <t>OLAP only</t>
        </is>
      </c>
      <c r="F153" s="57" t="inlineStr">
        <is>
          <t>-</t>
        </is>
      </c>
      <c r="G153" s="59" t="inlineStr">
        <is>
          <t>Derived financial aggregate or balance for operational or analytical use.</t>
        </is>
      </c>
      <c r="H153" s="59" t="inlineStr">
        <is>
          <t>SUM( SELECT( Loans[Outstanding Principal], AND([Ref Borrowers] = [_THISROW].[Ref Borrower], [Loan Status] = "ยังไม่ปิดยอด") ))</t>
        </is>
      </c>
    </row>
    <row r="154" ht="15" customHeight="1">
      <c r="A154" s="57" t="inlineStr">
        <is>
          <t>Loan Assessment</t>
        </is>
      </c>
      <c r="B154" s="57" t="n">
        <v>8</v>
      </c>
      <c r="C154" s="59" t="inlineStr">
        <is>
          <t>Interest Earned from Active Loans</t>
        </is>
      </c>
      <c r="D154" s="59" t="inlineStr">
        <is>
          <t>VC / Price</t>
        </is>
      </c>
      <c r="E154" s="57" t="inlineStr">
        <is>
          <t>OLAP only</t>
        </is>
      </c>
      <c r="F154" s="57" t="inlineStr">
        <is>
          <t>-</t>
        </is>
      </c>
      <c r="G154" s="59" t="inlineStr">
        <is>
          <t>Derived count used for workload, portfolio, or risk analysis.</t>
        </is>
      </c>
      <c r="H154" s="59" t="inlineStr">
        <is>
          <t>SUM( SELECT( Loans[Total Interest Received], AND([Ref Borrowers] = [_THISROW].[Ref Borrower], [Loan Status] = "ยังไม่ปิดยอด") ))</t>
        </is>
      </c>
    </row>
    <row r="155" ht="15" customHeight="1">
      <c r="A155" s="57" t="inlineStr">
        <is>
          <t>Loan Assessment</t>
        </is>
      </c>
      <c r="B155" s="57" t="n">
        <v>9</v>
      </c>
      <c r="C155" s="59" t="inlineStr">
        <is>
          <t>Earliest Eligible Date</t>
        </is>
      </c>
      <c r="D155" s="59" t="inlineStr">
        <is>
          <t>VC / Date</t>
        </is>
      </c>
      <c r="E155" s="57" t="inlineStr">
        <is>
          <t>OLAP only</t>
        </is>
      </c>
      <c r="F155" s="57" t="inlineStr">
        <is>
          <t>-</t>
        </is>
      </c>
      <c r="G155" s="59" t="inlineStr">
        <is>
          <t>Derived business-state or risk indicator.</t>
        </is>
      </c>
      <c r="H155" s="59" t="inlineStr">
        <is>
          <t>MIN(SELECT(Calendar[Date], AND([Date] &gt;= TODAY(), [Eligible] = TRUE)))</t>
        </is>
      </c>
    </row>
    <row r="156" ht="15" customHeight="1">
      <c r="A156" s="57" t="inlineStr">
        <is>
          <t>Loan Assessment</t>
        </is>
      </c>
      <c r="B156" s="57" t="n">
        <v>10</v>
      </c>
      <c r="C156" s="59" t="inlineStr">
        <is>
          <t>Days Until Eligible</t>
        </is>
      </c>
      <c r="D156" s="59" t="inlineStr">
        <is>
          <t>VC / Number</t>
        </is>
      </c>
      <c r="E156" s="57" t="inlineStr">
        <is>
          <t>OLAP only</t>
        </is>
      </c>
      <c r="F156" s="57" t="inlineStr">
        <is>
          <t>-</t>
        </is>
      </c>
      <c r="G156" s="59" t="inlineStr">
        <is>
          <t>Derived business-state or risk indicator.</t>
        </is>
      </c>
      <c r="H156" s="59" t="inlineStr">
        <is>
          <t>IF( ISBLANK([Earliest Eligible Date]), "", TOTALHOURS([Earliest Eligible Date] - TODAY()) / 24)</t>
        </is>
      </c>
    </row>
    <row r="157" ht="15" customHeight="1">
      <c r="A157" s="57" t="inlineStr">
        <is>
          <t>Loan Assessment</t>
        </is>
      </c>
      <c r="B157" s="57" t="n">
        <v>11</v>
      </c>
      <c r="C157" s="59" t="inlineStr">
        <is>
          <t>Projected Interest at Eligible Date</t>
        </is>
      </c>
      <c r="D157" s="59" t="inlineStr">
        <is>
          <t>VC / Price</t>
        </is>
      </c>
      <c r="E157" s="57" t="inlineStr">
        <is>
          <t>OLAP only</t>
        </is>
      </c>
      <c r="F157" s="57" t="inlineStr">
        <is>
          <t>-</t>
        </is>
      </c>
      <c r="G157" s="59" t="inlineStr">
        <is>
          <t>Derived business-state or risk indicator.</t>
        </is>
      </c>
      <c r="H157" s="59" t="inlineStr">
        <is>
          <t>LOOKUP([Earliest Eligible Date], "Calendar", "Date", "Projected Interest")</t>
        </is>
      </c>
    </row>
    <row r="158" ht="15" customHeight="1">
      <c r="A158" s="57" t="inlineStr">
        <is>
          <t>Loan Assessment</t>
        </is>
      </c>
      <c r="B158" s="57" t="n">
        <v>12</v>
      </c>
      <c r="C158" s="59" t="inlineStr">
        <is>
          <t>Outstanding Principal at Eligible Date</t>
        </is>
      </c>
      <c r="D158" s="59" t="inlineStr">
        <is>
          <t>VC / Price</t>
        </is>
      </c>
      <c r="E158" s="57" t="inlineStr">
        <is>
          <t>OLAP only</t>
        </is>
      </c>
      <c r="F158" s="57" t="inlineStr">
        <is>
          <t>-</t>
        </is>
      </c>
      <c r="G158" s="59" t="inlineStr">
        <is>
          <t>Derived business-state or risk indicator.</t>
        </is>
      </c>
      <c r="H158" s="59" t="inlineStr">
        <is>
          <t>LOOKUP( [Earliest Eligible Date], "Calendar", "Date", "Projected Outstanding Principal")</t>
        </is>
      </c>
    </row>
    <row r="159" ht="15" customHeight="1">
      <c r="A159" s="57" t="inlineStr">
        <is>
          <t>Loan Assessment</t>
        </is>
      </c>
      <c r="B159" s="57" t="n">
        <v>13</v>
      </c>
      <c r="C159" s="59" t="inlineStr">
        <is>
          <t>Minimum Profit at Eligible Date</t>
        </is>
      </c>
      <c r="D159" s="59" t="inlineStr">
        <is>
          <t>VC / Price</t>
        </is>
      </c>
      <c r="E159" s="57" t="inlineStr">
        <is>
          <t>OLAP only</t>
        </is>
      </c>
      <c r="F159" s="57" t="inlineStr">
        <is>
          <t>-</t>
        </is>
      </c>
      <c r="G159" s="59" t="inlineStr">
        <is>
          <t>Derived business-state or risk indicator.</t>
        </is>
      </c>
      <c r="H159" s="59" t="inlineStr">
        <is>
          <t>LOOKUP( [Earliest Eligible Date], "Calendar", "Date", "Minimum Required Profit")</t>
        </is>
      </c>
    </row>
    <row r="160" ht="15" customHeight="1">
      <c r="A160" s="57" t="inlineStr">
        <is>
          <t>Loan Assessment</t>
        </is>
      </c>
      <c r="B160" s="57" t="n">
        <v>14</v>
      </c>
      <c r="C160" s="59" t="inlineStr">
        <is>
          <t>Required Coverage at Eligible Date</t>
        </is>
      </c>
      <c r="D160" s="59" t="inlineStr">
        <is>
          <t>VC / Price</t>
        </is>
      </c>
      <c r="E160" s="57" t="inlineStr">
        <is>
          <t>OLAP only</t>
        </is>
      </c>
      <c r="F160" s="57" t="inlineStr">
        <is>
          <t>-</t>
        </is>
      </c>
      <c r="G160" s="59" t="inlineStr">
        <is>
          <t>Derived ratio or performance measure calculated from governed source values.</t>
        </is>
      </c>
      <c r="H160" s="59" t="inlineStr">
        <is>
          <t>LOOKUP( [Earliest Eligible Date], "Calendar", "Date", "Required Coverage")</t>
        </is>
      </c>
    </row>
    <row r="161" ht="15" customHeight="1">
      <c r="A161" s="57" t="inlineStr">
        <is>
          <t>Loan Assessment</t>
        </is>
      </c>
      <c r="B161" s="57" t="n">
        <v>15</v>
      </c>
      <c r="C161" s="59" t="inlineStr">
        <is>
          <t>Safety Margin</t>
        </is>
      </c>
      <c r="D161" s="59" t="inlineStr">
        <is>
          <t>VC / Price</t>
        </is>
      </c>
      <c r="E161" s="57" t="inlineStr">
        <is>
          <t>OLAP only</t>
        </is>
      </c>
      <c r="F161" s="57" t="inlineStr">
        <is>
          <t>-</t>
        </is>
      </c>
      <c r="G161" s="59" t="inlineStr">
        <is>
          <t>Derived AppSheet value used by the app workflow, presentation, or reporting model.</t>
        </is>
      </c>
      <c r="H161" s="59" t="inlineStr">
        <is>
          <t>LOOKUP( [Earliest Eligible Date], "Calendar", "Date", "Coverage Margin")</t>
        </is>
      </c>
    </row>
    <row r="162" ht="15" customHeight="1">
      <c r="A162" s="57" t="inlineStr">
        <is>
          <t>Loan Assessment</t>
        </is>
      </c>
      <c r="B162" s="57" t="n">
        <v>16</v>
      </c>
      <c r="C162" s="59" t="inlineStr">
        <is>
          <t>Current Coverage Margin</t>
        </is>
      </c>
      <c r="D162" s="59" t="inlineStr">
        <is>
          <t>VC / Price</t>
        </is>
      </c>
      <c r="E162" s="57" t="inlineStr">
        <is>
          <t>OLAP only</t>
        </is>
      </c>
      <c r="F162" s="57" t="inlineStr">
        <is>
          <t>-</t>
        </is>
      </c>
      <c r="G162" s="59" t="inlineStr">
        <is>
          <t>Derived ratio or performance measure calculated from governed source values.</t>
        </is>
      </c>
      <c r="H162" s="59" t="inlineStr">
        <is>
          <t>LOOKUP( TODAY(), "Calendar", "Date", "Coverage Margin")</t>
        </is>
      </c>
    </row>
    <row r="163" ht="21.60000038146973" customHeight="1">
      <c r="A163" s="57" t="inlineStr">
        <is>
          <t>Loan Assessment</t>
        </is>
      </c>
      <c r="B163" s="57" t="n">
        <v>17</v>
      </c>
      <c r="C163" s="59" t="inlineStr">
        <is>
          <t>Coverage Ratio at Eligible Date</t>
        </is>
      </c>
      <c r="D163" s="59" t="inlineStr">
        <is>
          <t>VC / Percent</t>
        </is>
      </c>
      <c r="E163" s="57" t="inlineStr">
        <is>
          <t>OLAP only</t>
        </is>
      </c>
      <c r="F163" s="57" t="inlineStr">
        <is>
          <t>-</t>
        </is>
      </c>
      <c r="G163" s="59" t="inlineStr">
        <is>
          <t>Derived ratio or performance measure calculated from governed source values.</t>
        </is>
      </c>
      <c r="H163" s="59" t="inlineStr">
        <is>
          <t>IF( [Required Coverage at Eligible Date] &gt; 0, [Projected Interest at Eligible Date] / [Required Coverage at Eligible Date], 0)</t>
        </is>
      </c>
    </row>
    <row r="164" ht="64.80000305175781" customHeight="1">
      <c r="A164" s="57" t="inlineStr">
        <is>
          <t>Loan Assessment</t>
        </is>
      </c>
      <c r="B164" s="57" t="n">
        <v>18</v>
      </c>
      <c r="C164" s="59" t="inlineStr">
        <is>
          <t>Recommendation Status</t>
        </is>
      </c>
      <c r="D164" s="59" t="inlineStr">
        <is>
          <t>VC / Text</t>
        </is>
      </c>
      <c r="E164" s="57" t="inlineStr">
        <is>
          <t>OLAP only</t>
        </is>
      </c>
      <c r="F164" s="57" t="inlineStr">
        <is>
          <t>-</t>
        </is>
      </c>
      <c r="G164" s="59" t="inlineStr">
        <is>
          <t>Derived business-state or risk indicator.</t>
        </is>
      </c>
      <c r="H164" s="59" t="inlineStr">
        <is>
          <t>IFS( ISBLANK([Earliest Eligible Date]), "ยังไม่ผ่านเกณฑ์ - Not Eligible", [Earliest Eligible Date] &lt;= TODAY(), "ปล่อยกู้ได้ตอนนี้ - Eligible Now", TRUE, "ควรรอก่อน - Wait")</t>
        </is>
      </c>
    </row>
    <row r="165" ht="15" customHeight="1">
      <c r="A165" s="57" t="inlineStr">
        <is>
          <t>Loan Assessment</t>
        </is>
      </c>
      <c r="B165" s="57" t="n">
        <v>19</v>
      </c>
      <c r="C165" s="59" t="inlineStr">
        <is>
          <t>Recommendation</t>
        </is>
      </c>
      <c r="D165" s="59" t="inlineStr">
        <is>
          <t>VC / Text</t>
        </is>
      </c>
      <c r="E165" s="57" t="inlineStr">
        <is>
          <t>OLAP only</t>
        </is>
      </c>
      <c r="F165" s="57" t="inlineStr">
        <is>
          <t>-</t>
        </is>
      </c>
      <c r="G165" s="59" t="inlineStr">
        <is>
          <t>Derived AppSheet value used by the app workflow, presentation, or reporting model.</t>
        </is>
      </c>
      <c r="H165" s="59" t="inlineStr">
        <is>
          <t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t>
        </is>
      </c>
    </row>
    <row r="166" ht="15" customHeight="1">
      <c r="A166" s="57" t="inlineStr">
        <is>
          <t>Loan Assessment</t>
        </is>
      </c>
      <c r="B166" s="57" t="n">
        <v>20</v>
      </c>
      <c r="C166" s="59" t="inlineStr">
        <is>
          <t>Header - Current Position</t>
        </is>
      </c>
      <c r="D166" s="59" t="inlineStr">
        <is>
          <t>VC / Text</t>
        </is>
      </c>
      <c r="E166" s="57" t="inlineStr">
        <is>
          <t>OLAP only</t>
        </is>
      </c>
      <c r="F166" s="57" t="inlineStr">
        <is>
          <t>-</t>
        </is>
      </c>
      <c r="G166" s="59" t="inlineStr">
        <is>
          <t>Presentation-oriented label or bilingual display value.</t>
        </is>
      </c>
      <c r="H166" s="59" t="inlineStr">
        <is>
          <t>"──── สถานะปัจจุบัน / Current Position ────"</t>
        </is>
      </c>
    </row>
    <row r="167" ht="15" customHeight="1">
      <c r="A167" s="57" t="inlineStr">
        <is>
          <t>Loan Assessment</t>
        </is>
      </c>
      <c r="B167" s="57" t="n">
        <v>21</v>
      </c>
      <c r="C167" s="59" t="inlineStr">
        <is>
          <t>Header - Recommendation</t>
        </is>
      </c>
      <c r="D167" s="59" t="inlineStr">
        <is>
          <t>VC / Text</t>
        </is>
      </c>
      <c r="E167" s="57" t="inlineStr">
        <is>
          <t>OLAP only</t>
        </is>
      </c>
      <c r="F167" s="57" t="inlineStr">
        <is>
          <t>-</t>
        </is>
      </c>
      <c r="G167" s="59" t="inlineStr">
        <is>
          <t>Presentation-oriented label or bilingual display value.</t>
        </is>
      </c>
      <c r="H167" s="59" t="inlineStr">
        <is>
          <t>"──── คำแนะนำ / Recommendation ────"</t>
        </is>
      </c>
    </row>
    <row r="168" ht="15" customHeight="1">
      <c r="A168" s="57" t="inlineStr">
        <is>
          <t>Loan Assessment</t>
        </is>
      </c>
      <c r="B168" s="57" t="n">
        <v>22</v>
      </c>
      <c r="C168" s="59" t="inlineStr">
        <is>
          <t>Header - Calculation</t>
        </is>
      </c>
      <c r="D168" s="59" t="inlineStr">
        <is>
          <t>VC / Text</t>
        </is>
      </c>
      <c r="E168" s="57" t="inlineStr">
        <is>
          <t>OLAP only</t>
        </is>
      </c>
      <c r="F168" s="57" t="inlineStr">
        <is>
          <t>-</t>
        </is>
      </c>
      <c r="G168" s="59" t="inlineStr">
        <is>
          <t>Presentation-oriented label or bilingual display value.</t>
        </is>
      </c>
      <c r="H168" s="59" t="inlineStr">
        <is>
          <t>"──── รายละเอียดการคำนวณ / Calculation ────"</t>
        </is>
      </c>
    </row>
    <row r="169" ht="15" customHeight="1">
      <c r="A169" s="57" t="inlineStr">
        <is>
          <t>Loans</t>
        </is>
      </c>
      <c r="B169" s="57" t="n">
        <v>1</v>
      </c>
      <c r="C169" s="59" t="inlineStr">
        <is>
          <t>_RowNumber</t>
        </is>
      </c>
      <c r="D169" s="59" t="inlineStr">
        <is>
          <t>Physical / Number</t>
        </is>
      </c>
      <c r="E169" s="57" t="inlineStr">
        <is>
          <t>OLTP + OLAP</t>
        </is>
      </c>
      <c r="F169" s="57" t="inlineStr">
        <is>
          <t>-</t>
        </is>
      </c>
      <c r="G169" s="59" t="inlineStr">
        <is>
          <t>System-generated source-row ordinal; not a stable business key.</t>
        </is>
      </c>
      <c r="H169" s="59" t="inlineStr">
        <is>
          <t>Stored source column</t>
        </is>
      </c>
    </row>
    <row r="170" ht="15" customHeight="1">
      <c r="A170" s="57" t="inlineStr">
        <is>
          <t>Loans</t>
        </is>
      </c>
      <c r="B170" s="57" t="n">
        <v>2</v>
      </c>
      <c r="C170" s="59" t="inlineStr">
        <is>
          <t>Row ID</t>
        </is>
      </c>
      <c r="D170" s="59" t="inlineStr">
        <is>
          <t>Physical / Text</t>
        </is>
      </c>
      <c r="E170" s="57" t="inlineStr">
        <is>
          <t>OLTP + OLAP</t>
        </is>
      </c>
      <c r="F170" s="57" t="inlineStr">
        <is>
          <t>Key, Required</t>
        </is>
      </c>
      <c r="G170" s="59" t="inlineStr">
        <is>
          <t>Immutable row key generated by the source database.</t>
        </is>
      </c>
      <c r="H170" s="59" t="inlineStr">
        <is>
          <t>Stored source column; initial value: UNIQUEID("PackedUUID")</t>
        </is>
      </c>
    </row>
    <row r="171" ht="15" customHeight="1">
      <c r="A171" s="57" t="inlineStr">
        <is>
          <t>Loans</t>
        </is>
      </c>
      <c r="B171" s="57" t="n">
        <v>3</v>
      </c>
      <c r="C171" s="59" t="inlineStr">
        <is>
          <t>Loan Date</t>
        </is>
      </c>
      <c r="D171" s="59" t="inlineStr">
        <is>
          <t>Physical / Date</t>
        </is>
      </c>
      <c r="E171" s="57" t="inlineStr">
        <is>
          <t>OLTP + OLAP</t>
        </is>
      </c>
      <c r="F171" s="57" t="inlineStr">
        <is>
          <t>OLTP: Required; OLAP: -</t>
        </is>
      </c>
      <c r="G171" s="59" t="inlineStr">
        <is>
          <t>Stores the source date for Loan Date.</t>
        </is>
      </c>
      <c r="H171" s="59" t="inlineStr">
        <is>
          <t>Stored source column; initial value: TODAY()</t>
        </is>
      </c>
    </row>
    <row r="172" ht="15" customHeight="1">
      <c r="A172" s="57" t="inlineStr">
        <is>
          <t>Loans</t>
        </is>
      </c>
      <c r="B172" s="57" t="n">
        <v>4</v>
      </c>
      <c r="C172" s="59" t="inlineStr">
        <is>
          <t>Close Date</t>
        </is>
      </c>
      <c r="D172" s="59" t="inlineStr">
        <is>
          <t>Physical / Date</t>
        </is>
      </c>
      <c r="E172" s="57" t="inlineStr">
        <is>
          <t>OLTP + OLAP</t>
        </is>
      </c>
      <c r="F172" s="57" t="inlineStr">
        <is>
          <t>-</t>
        </is>
      </c>
      <c r="G172" s="59" t="inlineStr">
        <is>
          <t>Stores the source date for Close Date.</t>
        </is>
      </c>
      <c r="H172" s="59" t="inlineStr">
        <is>
          <t>Stored source column; initial value: TODAY()</t>
        </is>
      </c>
    </row>
    <row r="173" ht="15" customHeight="1">
      <c r="A173" s="57" t="inlineStr">
        <is>
          <t>Loans</t>
        </is>
      </c>
      <c r="B173" s="57" t="n">
        <v>5</v>
      </c>
      <c r="C173" s="59" t="inlineStr">
        <is>
          <t>Principal Amount</t>
        </is>
      </c>
      <c r="D173" s="59" t="inlineStr">
        <is>
          <t>Physical / Price</t>
        </is>
      </c>
      <c r="E173" s="57" t="inlineStr">
        <is>
          <t>OLTP + OLAP</t>
        </is>
      </c>
      <c r="F173" s="57" t="inlineStr">
        <is>
          <t>OLTP: Required; OLAP: -</t>
        </is>
      </c>
      <c r="G173" s="59" t="inlineStr">
        <is>
          <t>Stores the financially material source value for Principal Amount.</t>
        </is>
      </c>
      <c r="H173" s="59" t="inlineStr">
        <is>
          <t>Stored source column</t>
        </is>
      </c>
    </row>
    <row r="174" ht="15" customHeight="1">
      <c r="A174" s="57" t="inlineStr">
        <is>
          <t>Loans</t>
        </is>
      </c>
      <c r="B174" s="57" t="n">
        <v>6</v>
      </c>
      <c r="C174" s="59" t="inlineStr">
        <is>
          <t>Due Date</t>
        </is>
      </c>
      <c r="D174" s="59" t="inlineStr">
        <is>
          <t>Physical / Date</t>
        </is>
      </c>
      <c r="E174" s="57" t="inlineStr">
        <is>
          <t>OLTP + OLAP</t>
        </is>
      </c>
      <c r="F174" s="57" t="inlineStr">
        <is>
          <t>-</t>
        </is>
      </c>
      <c r="G174" s="59" t="inlineStr">
        <is>
          <t>Stores the source date for Due Date.</t>
        </is>
      </c>
      <c r="H174" s="59" t="inlineStr">
        <is>
          <t>Stored source column; initial value: TODAY()</t>
        </is>
      </c>
    </row>
    <row r="175" ht="15" customHeight="1">
      <c r="A175" s="57" t="inlineStr">
        <is>
          <t>Loans</t>
        </is>
      </c>
      <c r="B175" s="57" t="n">
        <v>7</v>
      </c>
      <c r="C175" s="59" t="inlineStr">
        <is>
          <t>Ref Borrowers</t>
        </is>
      </c>
      <c r="D175" s="59" t="inlineStr">
        <is>
          <t>Physical / Ref</t>
        </is>
      </c>
      <c r="E175" s="57" t="inlineStr">
        <is>
          <t>OLTP + OLAP</t>
        </is>
      </c>
      <c r="F175" s="57" t="inlineStr">
        <is>
          <t>-</t>
        </is>
      </c>
      <c r="G175" s="59" t="inlineStr">
        <is>
          <t>Reference key that links this row to the configured parent table.</t>
        </is>
      </c>
      <c r="H175" s="59" t="inlineStr">
        <is>
          <t>Stored source column</t>
        </is>
      </c>
    </row>
    <row r="176" ht="15" customHeight="1">
      <c r="A176" s="57" t="inlineStr">
        <is>
          <t>Loans</t>
        </is>
      </c>
      <c r="B176" s="57" t="n">
        <v>8</v>
      </c>
      <c r="C176" s="59" t="inlineStr">
        <is>
          <t>Loan Arrangement</t>
        </is>
      </c>
      <c r="D176" s="59" t="inlineStr">
        <is>
          <t>Physical / LongText</t>
        </is>
      </c>
      <c r="E176" s="57" t="inlineStr">
        <is>
          <t>OLTP + OLAP</t>
        </is>
      </c>
      <c r="F176" s="57" t="inlineStr">
        <is>
          <t>-</t>
        </is>
      </c>
      <c r="G176" s="59" t="inlineStr">
        <is>
          <t>Stores the authoritative source value for Loan Arrangement.</t>
        </is>
      </c>
      <c r="H176" s="59" t="inlineStr">
        <is>
          <t>Stored source column</t>
        </is>
      </c>
    </row>
    <row r="177" ht="15" customHeight="1">
      <c r="A177" s="57" t="inlineStr">
        <is>
          <t>Loans</t>
        </is>
      </c>
      <c r="B177" s="57" t="n">
        <v>9</v>
      </c>
      <c r="C177" s="59" t="inlineStr">
        <is>
          <t>Loan Status</t>
        </is>
      </c>
      <c r="D177" s="59" t="inlineStr">
        <is>
          <t>Physical / Enum</t>
        </is>
      </c>
      <c r="E177" s="57" t="inlineStr">
        <is>
          <t>OLTP + OLAP</t>
        </is>
      </c>
      <c r="F177" s="57" t="inlineStr">
        <is>
          <t>OLTP: Required; OLAP: -</t>
        </is>
      </c>
      <c r="G177" s="59" t="inlineStr">
        <is>
          <t>Stores the controlled workflow state for Loan Status.</t>
        </is>
      </c>
      <c r="H177" s="59" t="inlineStr">
        <is>
          <t>Stored source column; initial value: "ยังไม่ปิดยอด"</t>
        </is>
      </c>
    </row>
    <row r="178" ht="15" customHeight="1">
      <c r="A178" s="57" t="inlineStr">
        <is>
          <t>Loans</t>
        </is>
      </c>
      <c r="B178" s="57" t="n">
        <v>10</v>
      </c>
      <c r="C178" s="59" t="inlineStr">
        <is>
          <t>Borrower Name</t>
        </is>
      </c>
      <c r="D178" s="59" t="inlineStr">
        <is>
          <t>Physical / Name</t>
        </is>
      </c>
      <c r="E178" s="57" t="inlineStr">
        <is>
          <t>OLTP + OLAP</t>
        </is>
      </c>
      <c r="F178" s="57" t="inlineStr">
        <is>
          <t>-</t>
        </is>
      </c>
      <c r="G178" s="59" t="inlineStr">
        <is>
          <t>Stores the authoritative source value for Borrower Name.</t>
        </is>
      </c>
      <c r="H178" s="59" t="inlineStr">
        <is>
          <t>Stored source column</t>
        </is>
      </c>
    </row>
    <row r="179" ht="15" customHeight="1">
      <c r="A179" s="57" t="inlineStr">
        <is>
          <t>Loans</t>
        </is>
      </c>
      <c r="B179" s="57" t="n">
        <v>11</v>
      </c>
      <c r="C179" s="59" t="inlineStr">
        <is>
          <t>Loan Type</t>
        </is>
      </c>
      <c r="D179" s="59" t="inlineStr">
        <is>
          <t>Physical / Enum</t>
        </is>
      </c>
      <c r="E179" s="57" t="inlineStr">
        <is>
          <t>OLTP + OLAP</t>
        </is>
      </c>
      <c r="F179" s="57" t="inlineStr">
        <is>
          <t>OLTP: Required; OLAP: -</t>
        </is>
      </c>
      <c r="G179" s="59" t="inlineStr">
        <is>
          <t>Stores the authoritative source value for Loan Type.</t>
        </is>
      </c>
      <c r="H179" s="59" t="inlineStr">
        <is>
          <t>Stored source column; production source/OLTP enum values: "กำหนดวันชำระ", "ดอกเบี้ยรายวัน", "ผ่อนชำระรายวัน"</t>
        </is>
      </c>
    </row>
    <row r="180" ht="15" customHeight="1">
      <c r="A180" s="57" t="inlineStr">
        <is>
          <t>Loans</t>
        </is>
      </c>
      <c r="B180" s="57" t="n">
        <v>12</v>
      </c>
      <c r="C180" s="59" t="inlineStr">
        <is>
          <t>Current Daily Interest</t>
        </is>
      </c>
      <c r="D180" s="59" t="inlineStr">
        <is>
          <t>Physical / Price</t>
        </is>
      </c>
      <c r="E180" s="57" t="inlineStr">
        <is>
          <t>OLTP + OLAP</t>
        </is>
      </c>
      <c r="F180" s="57" t="inlineStr">
        <is>
          <t>-</t>
        </is>
      </c>
      <c r="G180" s="59" t="inlineStr">
        <is>
          <t>Stores the financially material source value for Current Daily Interest.</t>
        </is>
      </c>
      <c r="H180" s="59" t="inlineStr">
        <is>
          <t>Stored source column</t>
        </is>
      </c>
    </row>
    <row r="181" ht="15" customHeight="1">
      <c r="A181" s="57" t="inlineStr">
        <is>
          <t>Loans</t>
        </is>
      </c>
      <c r="B181" s="57" t="n">
        <v>13</v>
      </c>
      <c r="C181" s="59" t="inlineStr">
        <is>
          <t>Fixed Interest</t>
        </is>
      </c>
      <c r="D181" s="59" t="inlineStr">
        <is>
          <t>Physical / Price</t>
        </is>
      </c>
      <c r="E181" s="57" t="inlineStr">
        <is>
          <t>OLTP + OLAP</t>
        </is>
      </c>
      <c r="F181" s="57" t="inlineStr">
        <is>
          <t>-</t>
        </is>
      </c>
      <c r="G181" s="59" t="inlineStr">
        <is>
          <t>Stores the financially material source value for Fixed Interest.</t>
        </is>
      </c>
      <c r="H181" s="59" t="inlineStr">
        <is>
          <t>Stored source column</t>
        </is>
      </c>
    </row>
    <row r="182" ht="15" customHeight="1">
      <c r="A182" s="57" t="inlineStr">
        <is>
          <t>Loans</t>
        </is>
      </c>
      <c r="B182" s="57" t="n">
        <v>14</v>
      </c>
      <c r="C182" s="59" t="inlineStr">
        <is>
          <t>Transfer Fee</t>
        </is>
      </c>
      <c r="D182" s="59" t="inlineStr">
        <is>
          <t>Physical / Price</t>
        </is>
      </c>
      <c r="E182" s="57" t="inlineStr">
        <is>
          <t>OLTP + OLAP</t>
        </is>
      </c>
      <c r="F182" s="57" t="inlineStr">
        <is>
          <t>-</t>
        </is>
      </c>
      <c r="G182" s="59" t="inlineStr">
        <is>
          <t>Stores the financially material source value for Transfer Fee.</t>
        </is>
      </c>
      <c r="H182" s="59" t="inlineStr">
        <is>
          <t>Stored source column; initial value: 0</t>
        </is>
      </c>
    </row>
    <row r="183" ht="15" customHeight="1">
      <c r="A183" s="57" t="inlineStr">
        <is>
          <t>Loans</t>
        </is>
      </c>
      <c r="B183" s="57" t="n">
        <v>15</v>
      </c>
      <c r="C183" s="59" t="inlineStr">
        <is>
          <t>Interest Payment Interval</t>
        </is>
      </c>
      <c r="D183" s="59" t="inlineStr">
        <is>
          <t>Physical / Number</t>
        </is>
      </c>
      <c r="E183" s="57" t="inlineStr">
        <is>
          <t>OLTP + OLAP</t>
        </is>
      </c>
      <c r="F183" s="57" t="inlineStr">
        <is>
          <t>-</t>
        </is>
      </c>
      <c r="G183" s="59" t="inlineStr">
        <is>
          <t>Stores the financially material source value for Interest Payment Interval.</t>
        </is>
      </c>
      <c r="H183" s="59" t="inlineStr">
        <is>
          <t>Stored source column; initial value: 1</t>
        </is>
      </c>
    </row>
    <row r="184" ht="15" customHeight="1">
      <c r="A184" s="57" t="inlineStr">
        <is>
          <t>Loans</t>
        </is>
      </c>
      <c r="B184" s="57" t="n">
        <v>16</v>
      </c>
      <c r="C184" s="59" t="inlineStr">
        <is>
          <t>Created By</t>
        </is>
      </c>
      <c r="D184" s="59" t="inlineStr">
        <is>
          <t>Physical / Email</t>
        </is>
      </c>
      <c r="E184" s="57" t="inlineStr">
        <is>
          <t>OLTP + OLAP</t>
        </is>
      </c>
      <c r="F184" s="57" t="inlineStr">
        <is>
          <t>-</t>
        </is>
      </c>
      <c r="G184" s="59" t="inlineStr">
        <is>
          <t>Stores the authoritative source value for Created By.</t>
        </is>
      </c>
      <c r="H184" s="59" t="inlineStr">
        <is>
          <t>Stored source column; initial value: USEREMAIL()</t>
        </is>
      </c>
    </row>
    <row r="185" ht="15" customHeight="1">
      <c r="A185" s="57" t="inlineStr">
        <is>
          <t>Loans</t>
        </is>
      </c>
      <c r="B185" s="57" t="n">
        <v>17</v>
      </c>
      <c r="C185" s="59" t="inlineStr">
        <is>
          <t>Closed By</t>
        </is>
      </c>
      <c r="D185" s="59" t="inlineStr">
        <is>
          <t>Physical / Email</t>
        </is>
      </c>
      <c r="E185" s="57" t="inlineStr">
        <is>
          <t>OLTP + OLAP</t>
        </is>
      </c>
      <c r="F185" s="57" t="inlineStr">
        <is>
          <t>-</t>
        </is>
      </c>
      <c r="G185" s="59" t="inlineStr">
        <is>
          <t>Stores the authoritative source value for Closed By.</t>
        </is>
      </c>
      <c r="H185" s="59" t="inlineStr">
        <is>
          <t>Stored source column</t>
        </is>
      </c>
    </row>
    <row r="186" ht="15" customHeight="1">
      <c r="A186" s="57" t="inlineStr">
        <is>
          <t>Loans</t>
        </is>
      </c>
      <c r="B186" s="57" t="n">
        <v>18</v>
      </c>
      <c r="C186" s="59" t="inlineStr">
        <is>
          <t>Defaulted</t>
        </is>
      </c>
      <c r="D186" s="59" t="inlineStr">
        <is>
          <t>Physical / Yes/No</t>
        </is>
      </c>
      <c r="E186" s="57" t="inlineStr">
        <is>
          <t>OLTP + OLAP</t>
        </is>
      </c>
      <c r="F186" s="57" t="inlineStr">
        <is>
          <t>-</t>
        </is>
      </c>
      <c r="G186" s="59" t="inlineStr">
        <is>
          <t>Stores the authoritative source value for Defaulted.</t>
        </is>
      </c>
      <c r="H186" s="59" t="inlineStr">
        <is>
          <t>Stored source column; initial value: FALSE</t>
        </is>
      </c>
    </row>
    <row r="187" ht="15" customHeight="1">
      <c r="A187" s="57" t="inlineStr">
        <is>
          <t>Loans</t>
        </is>
      </c>
      <c r="B187" s="57" t="n">
        <v>19</v>
      </c>
      <c r="C187" s="59" t="inlineStr">
        <is>
          <t>Default Loss Amount</t>
        </is>
      </c>
      <c r="D187" s="59" t="inlineStr">
        <is>
          <t>Physical / Price</t>
        </is>
      </c>
      <c r="E187" s="57" t="inlineStr">
        <is>
          <t>OLTP + OLAP</t>
        </is>
      </c>
      <c r="F187" s="57" t="inlineStr">
        <is>
          <t>-</t>
        </is>
      </c>
      <c r="G187" s="59" t="inlineStr">
        <is>
          <t>Stores the financially material source value for Default Loss Amount.</t>
        </is>
      </c>
      <c r="H187" s="59" t="inlineStr">
        <is>
          <t>Stored source column; initial value: 0</t>
        </is>
      </c>
    </row>
    <row r="188" ht="15" customHeight="1">
      <c r="A188" s="57" t="inlineStr">
        <is>
          <t>Loans</t>
        </is>
      </c>
      <c r="B188" s="57" t="n">
        <v>20</v>
      </c>
      <c r="C188" s="59" t="inlineStr">
        <is>
          <t>Daily Payment Amount</t>
        </is>
      </c>
      <c r="D188" s="59" t="inlineStr">
        <is>
          <t>Physical / Price</t>
        </is>
      </c>
      <c r="E188" s="57" t="inlineStr">
        <is>
          <t>OLTP only</t>
        </is>
      </c>
      <c r="F188" s="57" t="inlineStr">
        <is>
          <t>OLTP: Required_If and Show_If for "ผ่อนชำระรายวัน"; whole-baht; OLAP: Not loaded</t>
        </is>
      </c>
      <c r="G188" s="59" t="inlineStr">
        <is>
          <t>Contract payment amount per scheduled day for a daily-installment loan; interval charges combine elapsed days.</t>
        </is>
      </c>
      <c r="H188" s="59" t="inlineStr">
        <is>
          <t>Stored source column; Show_If/Required_If: [Loan Type] = "ผ่อนชำระรายวัน"; Valid_If: AND([_THIS] &gt; 0, MOD([_THIS], 1) = 0, [_THIS] * (TOTALHOURS([Due Date] - [Loan Date]) / 24 + 1) &gt; [Principal Amount]); decimal digits: 0</t>
        </is>
      </c>
    </row>
    <row r="189" ht="15" customHeight="1">
      <c r="A189" s="57" t="inlineStr">
        <is>
          <t>Loans</t>
        </is>
      </c>
      <c r="B189" s="57" t="n">
        <v>21</v>
      </c>
      <c r="C189" s="59" t="inlineStr">
        <is>
          <t>Related Repayments</t>
        </is>
      </c>
      <c r="D189" s="59" t="inlineStr">
        <is>
          <t>VC / List</t>
        </is>
      </c>
      <c r="E189" s="57" t="inlineStr">
        <is>
          <t>OLTP + OLAP</t>
        </is>
      </c>
      <c r="F189" s="57" t="inlineStr">
        <is>
          <t>-</t>
        </is>
      </c>
      <c r="G189" s="59" t="inlineStr">
        <is>
          <t>Reverse-reference list of child rows that point to this record.</t>
        </is>
      </c>
      <c r="H189" s="59" t="inlineStr">
        <is>
          <t>REF_ROWS("Repayments", "Ref Loans")</t>
        </is>
      </c>
    </row>
    <row r="190" ht="15" customHeight="1">
      <c r="A190" s="57" t="inlineStr">
        <is>
          <t>Loans</t>
        </is>
      </c>
      <c r="B190" s="57" t="n">
        <v>22</v>
      </c>
      <c r="C190" s="59" t="inlineStr">
        <is>
          <t>Total Interest Received</t>
        </is>
      </c>
      <c r="D190" s="59" t="inlineStr">
        <is>
          <t>VC / Price</t>
        </is>
      </c>
      <c r="E190" s="57" t="inlineStr">
        <is>
          <t>OLTP + OLAP</t>
        </is>
      </c>
      <c r="F190" s="57" t="inlineStr">
        <is>
          <t>-</t>
        </is>
      </c>
      <c r="G190" s="59" t="inlineStr">
        <is>
          <t>Derived financial aggregate or balance for operational or analytical use.</t>
        </is>
      </c>
      <c r="H190" s="59" t="inlineStr">
        <is>
          <t>SUM([Related Repayments][Interest Paid])</t>
        </is>
      </c>
    </row>
    <row r="191" ht="15" customHeight="1">
      <c r="A191" s="57" t="inlineStr">
        <is>
          <t>Loans</t>
        </is>
      </c>
      <c r="B191" s="57" t="n">
        <v>23</v>
      </c>
      <c r="C191" s="59" t="inlineStr">
        <is>
          <t>Total Principal Received</t>
        </is>
      </c>
      <c r="D191" s="59" t="inlineStr">
        <is>
          <t>VC / Price</t>
        </is>
      </c>
      <c r="E191" s="57" t="inlineStr">
        <is>
          <t>OLTP + OLAP</t>
        </is>
      </c>
      <c r="F191" s="57" t="inlineStr">
        <is>
          <t>-</t>
        </is>
      </c>
      <c r="G191" s="59" t="inlineStr">
        <is>
          <t>Derived financial aggregate or balance for operational or analytical use.</t>
        </is>
      </c>
      <c r="H191" s="59" t="inlineStr">
        <is>
          <t>SUM([Related Repayments][Principal Paid])</t>
        </is>
      </c>
    </row>
    <row r="192" ht="15" customHeight="1">
      <c r="A192" s="57" t="inlineStr">
        <is>
          <t>Loans</t>
        </is>
      </c>
      <c r="B192" s="57" t="n">
        <v>24</v>
      </c>
      <c r="C192" s="59" t="inlineStr">
        <is>
          <t>Outstanding Principal</t>
        </is>
      </c>
      <c r="D192" s="59" t="inlineStr">
        <is>
          <t>VC / Price</t>
        </is>
      </c>
      <c r="E192" s="57" t="inlineStr">
        <is>
          <t>OLTP + OLAP</t>
        </is>
      </c>
      <c r="F192" s="57" t="inlineStr">
        <is>
          <t>-</t>
        </is>
      </c>
      <c r="G192" s="59" t="inlineStr">
        <is>
          <t>Derived financial aggregate or balance for operational or analytical use.</t>
        </is>
      </c>
      <c r="H192" s="59" t="inlineStr">
        <is>
          <t>[Principal Amount] - [Total Principal Received]</t>
        </is>
      </c>
    </row>
    <row r="193" ht="15" customHeight="1">
      <c r="A193" s="57" t="inlineStr">
        <is>
          <t>Loans</t>
        </is>
      </c>
      <c r="B193" s="57" t="n">
        <v>25</v>
      </c>
      <c r="C193" s="59" t="inlineStr">
        <is>
          <t>Total Amount Received</t>
        </is>
      </c>
      <c r="D193" s="59" t="inlineStr">
        <is>
          <t>VC / Price</t>
        </is>
      </c>
      <c r="E193" s="57" t="inlineStr">
        <is>
          <t>OLTP + OLAP</t>
        </is>
      </c>
      <c r="F193" s="57" t="inlineStr">
        <is>
          <t>-</t>
        </is>
      </c>
      <c r="G193" s="59" t="inlineStr">
        <is>
          <t>Derived financial aggregate or balance for operational or analytical use.</t>
        </is>
      </c>
      <c r="H193" s="59" t="inlineStr">
        <is>
          <t>SUM([Related Repayments][Amount Received])</t>
        </is>
      </c>
    </row>
    <row r="194" ht="15" customHeight="1">
      <c r="A194" s="57" t="inlineStr">
        <is>
          <t>Loans</t>
        </is>
      </c>
      <c r="B194" s="57" t="n">
        <v>26</v>
      </c>
      <c r="C194" s="59" t="inlineStr">
        <is>
          <t>Statistics Header</t>
        </is>
      </c>
      <c r="D194" s="59" t="inlineStr">
        <is>
          <t>VC / Text</t>
        </is>
      </c>
      <c r="E194" s="57" t="inlineStr">
        <is>
          <t>OLTP + OLAP</t>
        </is>
      </c>
      <c r="F194" s="57" t="inlineStr">
        <is>
          <t>-</t>
        </is>
      </c>
      <c r="G194" s="59" t="inlineStr">
        <is>
          <t>Presentation-oriented label or bilingual display value.</t>
        </is>
      </c>
      <c r="H194" s="59" t="inlineStr">
        <is>
          <t>"📊 สถิติการกู้ / Statistics"</t>
        </is>
      </c>
    </row>
    <row r="195" ht="21.60000038146973" customHeight="1">
      <c r="A195" s="57" t="inlineStr">
        <is>
          <t>Loans</t>
        </is>
      </c>
      <c r="B195" s="57" t="n">
        <v>27</v>
      </c>
      <c r="C195" s="59" t="inlineStr">
        <is>
          <t>Borrower Total Interest</t>
        </is>
      </c>
      <c r="D195" s="59" t="inlineStr">
        <is>
          <t>VC / Price</t>
        </is>
      </c>
      <c r="E195" s="57" t="inlineStr">
        <is>
          <t>OLAP only</t>
        </is>
      </c>
      <c r="F195" s="57" t="inlineStr">
        <is>
          <t>-</t>
        </is>
      </c>
      <c r="G195" s="59" t="inlineStr">
        <is>
          <t>Derived financial aggregate or balance for operational or analytical use.</t>
        </is>
      </c>
      <c r="H195" s="59" t="inlineStr">
        <is>
          <t>SUM( SELECT( Loans[Total Interest Received], [Ref Borrowers] = [_THISROW].[Ref Borrowers] ))</t>
        </is>
      </c>
    </row>
    <row r="196" ht="32.40000152587891" customHeight="1">
      <c r="A196" s="57" t="inlineStr">
        <is>
          <t>Loans</t>
        </is>
      </c>
      <c r="B196" s="57" t="n">
        <v>28</v>
      </c>
      <c r="C196" s="59" t="inlineStr">
        <is>
          <t>Related Charges</t>
        </is>
      </c>
      <c r="D196" s="59" t="inlineStr">
        <is>
          <t>VC / List</t>
        </is>
      </c>
      <c r="E196" s="57" t="inlineStr">
        <is>
          <t>OLTP + OLAP</t>
        </is>
      </c>
      <c r="F196" s="57" t="inlineStr">
        <is>
          <t>-</t>
        </is>
      </c>
      <c r="G196" s="59" t="inlineStr">
        <is>
          <t>Reverse-reference list of child rows that point to this record.</t>
        </is>
      </c>
      <c r="H196" s="59" t="inlineStr">
        <is>
          <t>REF_ROWS("Charges", "Ref Loans")</t>
        </is>
      </c>
    </row>
    <row r="197" ht="21.60000038146973" customHeight="1">
      <c r="A197" s="57" t="inlineStr">
        <is>
          <t>Loans</t>
        </is>
      </c>
      <c r="B197" s="57" t="n">
        <v>29</v>
      </c>
      <c r="C197" s="59" t="inlineStr">
        <is>
          <t>Loan Key</t>
        </is>
      </c>
      <c r="D197" s="59" t="inlineStr">
        <is>
          <t>VC / Text</t>
        </is>
      </c>
      <c r="E197" s="57" t="inlineStr">
        <is>
          <t>OLTP + OLAP</t>
        </is>
      </c>
      <c r="F197" s="57" t="inlineStr">
        <is>
          <t>Label</t>
        </is>
      </c>
      <c r="G197" s="59" t="inlineStr">
        <is>
          <t>Derived AppSheet value used by the app workflow, presentation, or reporting model.</t>
        </is>
      </c>
      <c r="H197" s="59" t="inlineStr">
        <is>
          <t>CONCATENATE( [Borrower Name], "-", TEXT([Principal Amount]), "-", TEXT([Loan Date], "DD/MM"), "-", TEXT([Effective Daily Interest Rate]))</t>
        </is>
      </c>
    </row>
    <row r="198" ht="15" customHeight="1">
      <c r="A198" s="57" t="inlineStr">
        <is>
          <t>Loans</t>
        </is>
      </c>
      <c r="B198" s="57" t="n">
        <v>30</v>
      </c>
      <c r="C198" s="59" t="inlineStr">
        <is>
          <t>Expected Interest This Month</t>
        </is>
      </c>
      <c r="D198" s="59" t="inlineStr">
        <is>
          <t>VC / Price</t>
        </is>
      </c>
      <c r="E198" s="57" t="inlineStr">
        <is>
          <t>OLTP + OLAP</t>
        </is>
      </c>
      <c r="F198" s="57" t="inlineStr">
        <is>
          <t>App formula variance</t>
        </is>
      </c>
      <c r="G198" s="59" t="inlineStr">
        <is>
          <t>For open daily-interest loans, combines accrued but uncharged interest with interest forecast for days after today through month-end; for fixed-term loans, includes fixed interest due later in the current month.</t>
        </is>
      </c>
      <c r="H198" s="59" t="inlineStr">
        <is>
          <t>OLTP: IF([Loan Status] = "ปิดยอดแล้ว", 0, IFS([Loan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
OLAP: IF( [Loan Status] = "ปิดยอดแล้ว", 0, IFS( [Loan Type] = "ดอกเบี้ยรายวัน", MAX(LIST([Current Daily Interest] * 0, [Accrued Interest])) + ( [Current Daily Interest] * (DAY(EOMONTH(TODAY(), 0)) - DAY(TODAY())) ), [Loan Type] = "กำหนดวันชำระ", IF( AND( [Due Date] &gt; TODAY(), MONTH([Due Date]) = MONTH(TODAY()), YEAR([Due Date]) = YEAR(TODAY()) ), [Fixed Interest], 0 ) ))</t>
        </is>
      </c>
    </row>
    <row r="199" ht="21.60000038146973" customHeight="1">
      <c r="A199" s="57" t="inlineStr">
        <is>
          <t>Loans</t>
        </is>
      </c>
      <c r="B199" s="57" t="n">
        <v>31</v>
      </c>
      <c r="C199" s="59" t="inlineStr">
        <is>
          <t>Effective Daily Interest Rate</t>
        </is>
      </c>
      <c r="D199" s="59" t="inlineStr">
        <is>
          <t>VC / Percent</t>
        </is>
      </c>
      <c r="E199" s="57" t="inlineStr">
        <is>
          <t>OLTP + OLAP</t>
        </is>
      </c>
      <c r="F199" s="57" t="inlineStr">
        <is>
          <t>App formula variance</t>
        </is>
      </c>
      <c r="G199" s="59" t="inlineStr">
        <is>
          <t>Derived ratio or performance measure calculated from governed source values.</t>
        </is>
      </c>
      <c r="H199" s="59" t="inlineStr">
        <is>
          <t>OLTP: 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
OLAP: IFS( [Loan Type] = "ดอกเบี้ยรายวัน", [Current Daily Interest], [Loan Type] = "กำหนดวันชำระ", [Fixed Interest] / ( HOUR([Due Date] - [Loan Date]) / 24 + 1 ))/ [Principal Amount]</t>
        </is>
      </c>
    </row>
    <row r="200" ht="15" customHeight="1">
      <c r="A200" s="57" t="inlineStr">
        <is>
          <t>Loans</t>
        </is>
      </c>
      <c r="B200" s="57" t="n">
        <v>32</v>
      </c>
      <c r="C200" s="59" t="inlineStr">
        <is>
          <t>Principal Recovered by Interest %</t>
        </is>
      </c>
      <c r="D200" s="59" t="inlineStr">
        <is>
          <t>VC / Percent</t>
        </is>
      </c>
      <c r="E200" s="57" t="inlineStr">
        <is>
          <t>OLTP + OLAP</t>
        </is>
      </c>
      <c r="F200" s="57" t="inlineStr">
        <is>
          <t>-</t>
        </is>
      </c>
      <c r="G200" s="59" t="inlineStr">
        <is>
          <t>Derived ratio or performance measure calculated from governed source values.</t>
        </is>
      </c>
      <c r="H200" s="59" t="inlineStr">
        <is>
          <t>IF( [Principal Amount] &gt; 0, [Total Interest Received] / [Principal Amount], 0)</t>
        </is>
      </c>
    </row>
    <row r="201" ht="15" customHeight="1">
      <c r="A201" s="57" t="inlineStr">
        <is>
          <t>Loans</t>
        </is>
      </c>
      <c r="B201" s="57" t="n">
        <v>33</v>
      </c>
      <c r="C201" s="59" t="inlineStr">
        <is>
          <t>Principal Days MTD</t>
        </is>
      </c>
      <c r="D201" s="59" t="inlineStr">
        <is>
          <t>VC / Number</t>
        </is>
      </c>
      <c r="E201" s="57" t="inlineStr">
        <is>
          <t>OLTP + OLAP</t>
        </is>
      </c>
      <c r="F201" s="57" t="inlineStr">
        <is>
          <t>-</t>
        </is>
      </c>
      <c r="G201" s="59" t="inlineStr">
        <is>
          <t>Derived date, time-window, age, or delinquency measure.</t>
        </is>
      </c>
      <c r="H201" s="59" t="inlineStr">
        <is>
          <t>IF( [Loan Date] &gt; TODAY(), 0, [Principal Amount] * IF( AND(MONTH([Loan Date]) = MONTH(TODAY()), YEAR([Loan Date]) = YEAR(TODAY())), DAY(TODAY()) - DAY([Loan Date]) + 1, DAY(TODAY()) ))</t>
        </is>
      </c>
    </row>
    <row r="202" ht="15" customHeight="1">
      <c r="A202" s="57" t="inlineStr">
        <is>
          <t>Loans</t>
        </is>
      </c>
      <c r="B202" s="57" t="n">
        <v>34</v>
      </c>
      <c r="C202" s="59" t="inlineStr">
        <is>
          <t>Borrower Name TE</t>
        </is>
      </c>
      <c r="D202" s="59" t="inlineStr">
        <is>
          <t>VC / Text</t>
        </is>
      </c>
      <c r="E202" s="57" t="inlineStr">
        <is>
          <t>OLTP + OLAP</t>
        </is>
      </c>
      <c r="F202" s="57" t="inlineStr">
        <is>
          <t>-</t>
        </is>
      </c>
      <c r="G202" s="59" t="inlineStr">
        <is>
          <t>Presentation-oriented label or bilingual display value.</t>
        </is>
      </c>
      <c r="H202" s="59" t="inlineStr">
        <is>
          <t>[Ref Borrowers].[Borrower Name TE]</t>
        </is>
      </c>
    </row>
    <row r="203" ht="15" customHeight="1">
      <c r="A203" s="57" t="inlineStr">
        <is>
          <t>Loans</t>
        </is>
      </c>
      <c r="B203" s="57" t="n">
        <v>35</v>
      </c>
      <c r="C203" s="59" t="inlineStr">
        <is>
          <t>Loan Status TE</t>
        </is>
      </c>
      <c r="D203" s="59" t="inlineStr">
        <is>
          <t>VC / Text</t>
        </is>
      </c>
      <c r="E203" s="57" t="inlineStr">
        <is>
          <t>OLTP + OLAP</t>
        </is>
      </c>
      <c r="F203" s="57" t="inlineStr">
        <is>
          <t>-</t>
        </is>
      </c>
      <c r="G203" s="59" t="inlineStr">
        <is>
          <t>Presentation-oriented label or bilingual display value.</t>
        </is>
      </c>
      <c r="H203" s="59" t="inlineStr">
        <is>
          <t>IF([Loan Status] = "ปิดยอดแล้ว", "ปิดยอดแล้ว / Closed", "ยังไม่ปิดยอด / Active")</t>
        </is>
      </c>
    </row>
    <row r="204" ht="15" customHeight="1">
      <c r="A204" s="57" t="inlineStr">
        <is>
          <t>Loans</t>
        </is>
      </c>
      <c r="B204" s="57" t="n">
        <v>36</v>
      </c>
      <c r="C204" s="59" t="inlineStr">
        <is>
          <t>Loan Type TE</t>
        </is>
      </c>
      <c r="D204" s="59" t="inlineStr">
        <is>
          <t>VC / Text</t>
        </is>
      </c>
      <c r="E204" s="57" t="inlineStr">
        <is>
          <t>OLTP + OLAP</t>
        </is>
      </c>
      <c r="F204" s="57" t="inlineStr">
        <is>
          <t>App formula variance</t>
        </is>
      </c>
      <c r="G204" s="59" t="inlineStr">
        <is>
          <t>Presentation-oriented label or bilingual display value.</t>
        </is>
      </c>
      <c r="H204" s="59" t="inlineStr">
        <is>
          <t>OLTP: 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
OLAP: IF( [Loan Type] = "กำหนดวันชำระ", "กำหนดวันชำระ / Fixed Due Date", "ดอกเบี้ยรายวัน / Daily Interest")</t>
        </is>
      </c>
    </row>
    <row r="205" ht="15" customHeight="1">
      <c r="A205" s="57" t="inlineStr">
        <is>
          <t>Loans</t>
        </is>
      </c>
      <c r="B205" s="57" t="n">
        <v>37</v>
      </c>
      <c r="C205" s="59" t="inlineStr">
        <is>
          <t>Loan Start Day Index</t>
        </is>
      </c>
      <c r="D205" s="59" t="inlineStr">
        <is>
          <t>VC / Decimal</t>
        </is>
      </c>
      <c r="E205" s="57" t="inlineStr">
        <is>
          <t>OLAP only</t>
        </is>
      </c>
      <c r="F205" s="57" t="inlineStr">
        <is>
          <t>-</t>
        </is>
      </c>
      <c r="G205" s="59" t="inlineStr">
        <is>
          <t>Derived AppSheet value used by the app workflow, presentation, or reporting model.</t>
        </is>
      </c>
      <c r="H205" s="59" t="inlineStr">
        <is>
          <t>TOTALHOURS( [Loan Date] - DATE("01/01/2000")) / 24</t>
        </is>
      </c>
    </row>
    <row r="206" ht="21.60000038146973" customHeight="1">
      <c r="A206" s="57" t="inlineStr">
        <is>
          <t>Loans</t>
        </is>
      </c>
      <c r="B206" s="57" t="n">
        <v>38</v>
      </c>
      <c r="C206" s="59" t="inlineStr">
        <is>
          <t>Principal Start Weight</t>
        </is>
      </c>
      <c r="D206" s="59" t="inlineStr">
        <is>
          <t>VC / Decimal</t>
        </is>
      </c>
      <c r="E206" s="57" t="inlineStr">
        <is>
          <t>OLAP only</t>
        </is>
      </c>
      <c r="F206" s="57" t="inlineStr">
        <is>
          <t>-</t>
        </is>
      </c>
      <c r="G206" s="59" t="inlineStr">
        <is>
          <t>Derived financial aggregate or balance for operational or analytical use.</t>
        </is>
      </c>
      <c r="H206" s="59" t="inlineStr">
        <is>
          <t>[Principal Amount] * [Loan Start Day Index]</t>
        </is>
      </c>
    </row>
    <row r="207" ht="21.60000038146973" customHeight="1">
      <c r="A207" s="57" t="inlineStr">
        <is>
          <t>Loans</t>
        </is>
      </c>
      <c r="B207" s="57" t="n">
        <v>39</v>
      </c>
      <c r="C207" s="59" t="inlineStr">
        <is>
          <t>Loan End Date</t>
        </is>
      </c>
      <c r="D207" s="59" t="inlineStr">
        <is>
          <t>VC / Date</t>
        </is>
      </c>
      <c r="E207" s="57" t="inlineStr">
        <is>
          <t>OLAP only</t>
        </is>
      </c>
      <c r="F207" s="57" t="inlineStr">
        <is>
          <t>-</t>
        </is>
      </c>
      <c r="G207" s="59" t="inlineStr">
        <is>
          <t>Derived date, time-window, age, or delinquency measure.</t>
        </is>
      </c>
      <c r="H207" s="59" t="inlineStr">
        <is>
          <t>[Close Date]</t>
        </is>
      </c>
    </row>
    <row r="208" ht="15" customHeight="1">
      <c r="A208" s="57" t="inlineStr">
        <is>
          <t>Loans</t>
        </is>
      </c>
      <c r="B208" s="57" t="n">
        <v>40</v>
      </c>
      <c r="C208" s="59" t="inlineStr">
        <is>
          <t>Loan Duration</t>
        </is>
      </c>
      <c r="D208" s="59" t="inlineStr">
        <is>
          <t>VC / Number</t>
        </is>
      </c>
      <c r="E208" s="57" t="inlineStr">
        <is>
          <t>OLTP + OLAP</t>
        </is>
      </c>
      <c r="F208" s="57" t="inlineStr">
        <is>
          <t>-</t>
        </is>
      </c>
      <c r="G208" s="59" t="inlineStr">
        <is>
          <t>Closed-loan duration in calendar days, based on Close Date and inclusive of the Loan Date.</t>
        </is>
      </c>
      <c r="H208" s="59" t="inlineStr">
        <is>
          <t>IF( ISNOTBLANK([Close Date]), FLOOR(TOTALHOURS([Close Date] - [Loan Date]) / 24) + 1, "")</t>
        </is>
      </c>
    </row>
    <row r="209" ht="21.60000038146973" customHeight="1">
      <c r="A209" s="57" t="inlineStr">
        <is>
          <t>Loans</t>
        </is>
      </c>
      <c r="B209" s="57" t="n">
        <v>41</v>
      </c>
      <c r="C209" s="59" t="inlineStr">
        <is>
          <t>30D Principal Days</t>
        </is>
      </c>
      <c r="D209" s="59" t="inlineStr">
        <is>
          <t>VC / Decimal</t>
        </is>
      </c>
      <c r="E209" s="57" t="inlineStr">
        <is>
          <t>OLAP only</t>
        </is>
      </c>
      <c r="F209" s="57" t="inlineStr">
        <is>
          <t>-</t>
        </is>
      </c>
      <c r="G209" s="59" t="inlineStr">
        <is>
          <t>Derived date, time-window, age, or delinquency measure.</t>
        </is>
      </c>
      <c r="H209" s="59" t="inlineStr">
        <is>
          <t>IF( [Loan Date] &gt; TODAY(), 0, [Principal Amount] * ( FLOOR(TOTALHOURS(TODAY() - MAX(LIST([Loan Date], TODAY() - 29))) / 24) + 1 ))</t>
        </is>
      </c>
    </row>
    <row r="210" ht="15" customHeight="1">
      <c r="A210" s="57" t="inlineStr">
        <is>
          <t>Loans</t>
        </is>
      </c>
      <c r="B210" s="57" t="n">
        <v>42</v>
      </c>
      <c r="C210" s="59" t="inlineStr">
        <is>
          <t>Loan Age Days</t>
        </is>
      </c>
      <c r="D210" s="59" t="inlineStr">
        <is>
          <t>VC / Number</t>
        </is>
      </c>
      <c r="E210" s="57" t="inlineStr">
        <is>
          <t>OLAP only</t>
        </is>
      </c>
      <c r="F210" s="57" t="inlineStr">
        <is>
          <t>-</t>
        </is>
      </c>
      <c r="G210" s="59" t="inlineStr">
        <is>
          <t>Derived date, time-window, age, or delinquency measure.</t>
        </is>
      </c>
      <c r="H210" s="59" t="inlineStr">
        <is>
          <t>FLOOR(TOTALHOURS(TODAY() - [Loan Date]) / 24)</t>
        </is>
      </c>
    </row>
    <row r="211" ht="15" customHeight="1">
      <c r="A211" s="57" t="inlineStr">
        <is>
          <t>Loans</t>
        </is>
      </c>
      <c r="B211" s="57" t="n">
        <v>43</v>
      </c>
      <c r="C211" s="59" t="inlineStr">
        <is>
          <t>Loan Age Bucket</t>
        </is>
      </c>
      <c r="D211" s="59" t="inlineStr">
        <is>
          <t>VC / Text</t>
        </is>
      </c>
      <c r="E211" s="57" t="inlineStr">
        <is>
          <t>OLAP only</t>
        </is>
      </c>
      <c r="F211" s="57" t="inlineStr">
        <is>
          <t>-</t>
        </is>
      </c>
      <c r="G211" s="59" t="inlineStr">
        <is>
          <t>Derived grouping, ordering, or join value used by reporting or app presentation.</t>
        </is>
      </c>
      <c r="H211" s="59" t="inlineStr">
        <is>
          <t>IFS( [Loan Age Days] &lt;= 10, "0-10 Days", [Loan Age Days] &lt;= 20, "11-20 Days", [Loan Age Days] &lt;= 30, "21-30 Days", [Loan Age Days] &lt;= 60, "31-60 Days", TRUE, "60+ Days")</t>
        </is>
      </c>
    </row>
    <row r="212" ht="15" customHeight="1">
      <c r="A212" s="57" t="inlineStr">
        <is>
          <t>Loans</t>
        </is>
      </c>
      <c r="B212" s="57" t="n">
        <v>44</v>
      </c>
      <c r="C212" s="59" t="inlineStr">
        <is>
          <t>Defaulted Flag</t>
        </is>
      </c>
      <c r="D212" s="59" t="inlineStr">
        <is>
          <t>VC / Yes/No</t>
        </is>
      </c>
      <c r="E212" s="57" t="inlineStr">
        <is>
          <t>OLAP only</t>
        </is>
      </c>
      <c r="F212" s="57" t="inlineStr">
        <is>
          <t>-</t>
        </is>
      </c>
      <c r="G212" s="59" t="inlineStr">
        <is>
          <t>Derived business-state or risk indicator.</t>
        </is>
      </c>
      <c r="H212" s="59" t="inlineStr">
        <is>
          <t>IF([Defaulted], TRUE, FALSE)</t>
        </is>
      </c>
    </row>
    <row r="213" ht="21.60000038146973" customHeight="1">
      <c r="A213" s="57" t="inlineStr">
        <is>
          <t>Loans</t>
        </is>
      </c>
      <c r="B213" s="57" t="n">
        <v>45</v>
      </c>
      <c r="C213" s="59" t="inlineStr">
        <is>
          <t>Maximum Days Late</t>
        </is>
      </c>
      <c r="D213" s="59" t="inlineStr">
        <is>
          <t>VC / Number</t>
        </is>
      </c>
      <c r="E213" s="57" t="inlineStr">
        <is>
          <t>OLAP only</t>
        </is>
      </c>
      <c r="F213" s="57" t="inlineStr">
        <is>
          <t>-</t>
        </is>
      </c>
      <c r="G213" s="59" t="inlineStr">
        <is>
          <t>Derived business-state or risk indicator.</t>
        </is>
      </c>
      <c r="H213" s="59" t="inlineStr">
        <is>
          <t>MAX(LIST(0) + SELECT(Charges[Days Late], [Ref Loans] = [_THISROW].[Row ID]))</t>
        </is>
      </c>
    </row>
    <row r="214" ht="15" customHeight="1">
      <c r="A214" s="57" t="inlineStr">
        <is>
          <t>Loans</t>
        </is>
      </c>
      <c r="B214" s="57" t="n">
        <v>46</v>
      </c>
      <c r="C214" s="59" t="inlineStr">
        <is>
          <t>Last Interest Charge Date</t>
        </is>
      </c>
      <c r="D214" s="59" t="inlineStr">
        <is>
          <t>VC / Date</t>
        </is>
      </c>
      <c r="E214" s="57" t="inlineStr">
        <is>
          <t>OLTP + OLAP</t>
        </is>
      </c>
      <c r="F214" s="57" t="inlineStr">
        <is>
          <t>Searchable</t>
        </is>
      </c>
      <c r="G214" s="59" t="inlineStr">
        <is>
          <t>Latest related Charge Date; the lower boundary for calculating uncharged daily-interest accrual.</t>
        </is>
      </c>
      <c r="H214" s="59" t="inlineStr">
        <is>
          <t>MAX([Related Charges][Charge Date])</t>
        </is>
      </c>
    </row>
    <row r="215" ht="15" customHeight="1">
      <c r="A215" s="57" t="inlineStr">
        <is>
          <t>Loans</t>
        </is>
      </c>
      <c r="B215" s="57" t="n">
        <v>47</v>
      </c>
      <c r="C215" s="59" t="inlineStr">
        <is>
          <t>Accrued Interest Days</t>
        </is>
      </c>
      <c r="D215" s="59" t="inlineStr">
        <is>
          <t>VC / Number</t>
        </is>
      </c>
      <c r="E215" s="57" t="inlineStr">
        <is>
          <t>OLTP + OLAP</t>
        </is>
      </c>
      <c r="F215" s="57" t="inlineStr">
        <is>
          <t>-</t>
        </is>
      </c>
      <c r="G215" s="59" t="inlineStr">
        <is>
          <t>Elapsed accrual days since Last Interest Charge Date, or since Loan Date when no interest charge exists.</t>
        </is>
      </c>
      <c r="H215" s="59" t="inlineStr">
        <is>
          <t>IF( ISBLANK([Last Interest Charge Date]), TOTALHOURS(TODAY() - [Loan Date])/24, TOTALHOURS(TODAY() - [Last Interest Charge Date])/24)</t>
        </is>
      </c>
    </row>
    <row r="216" ht="15" customHeight="1">
      <c r="A216" s="57" t="inlineStr">
        <is>
          <t>Loans</t>
        </is>
      </c>
      <c r="B216" s="57" t="n">
        <v>48</v>
      </c>
      <c r="C216" s="59" t="inlineStr">
        <is>
          <t>Accrued Interest</t>
        </is>
      </c>
      <c r="D216" s="59" t="inlineStr">
        <is>
          <t>VC / Price</t>
        </is>
      </c>
      <c r="E216" s="57" t="inlineStr">
        <is>
          <t>OLTP + OLAP</t>
        </is>
      </c>
      <c r="F216" s="57" t="inlineStr">
        <is>
          <t>Show_If: [Loan Type] = "ดอกเบี้ยรายวัน"</t>
        </is>
      </c>
      <c r="G216" s="59" t="inlineStr">
        <is>
          <t>Uncharged interest for a daily-interest loan, calculated from Current Daily Interest and Accrued Interest Days.</t>
        </is>
      </c>
      <c r="H216" s="59" t="inlineStr">
        <is>
          <t>IF( [Loan Type] = "ดอกเบี้ยรายวัน", [Current Daily Interest] * [Accrued Interest Days], 0)</t>
        </is>
      </c>
    </row>
    <row r="217" ht="15" customHeight="1">
      <c r="A217" s="57" t="inlineStr">
        <is>
          <t>Loans</t>
        </is>
      </c>
      <c r="B217" s="57" t="n">
        <v>49</v>
      </c>
      <c r="C217" s="59" t="inlineStr">
        <is>
          <t>Expected Daily Interest Amount</t>
        </is>
      </c>
      <c r="D217" s="59" t="inlineStr">
        <is>
          <t>VC / Price</t>
        </is>
      </c>
      <c r="E217" s="57" t="inlineStr">
        <is>
          <t>OLTP only</t>
        </is>
      </c>
      <c r="F217" s="57" t="inlineStr">
        <is>
          <t>OLTP: Hidden; OLAP: Not loaded</t>
        </is>
      </c>
      <c r="G217" s="59" t="inlineStr">
        <is>
          <t>Open-loan daily-interest amount used by operational forecasts: entered daily interest for daily-interest loans and average contract interest for daily-installment loans; zero otherwise.</t>
        </is>
      </c>
      <c r="H217" s="59" t="inlineStr">
        <is>
          <t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t>
        </is>
      </c>
    </row>
    <row r="218" ht="15" customHeight="1">
      <c r="A218" s="57" t="inlineStr">
        <is>
          <t>Partners</t>
        </is>
      </c>
      <c r="B218" s="57" t="n">
        <v>1</v>
      </c>
      <c r="C218" s="59" t="inlineStr">
        <is>
          <t>_RowNumber</t>
        </is>
      </c>
      <c r="D218" s="59" t="inlineStr">
        <is>
          <t>Physical / Number</t>
        </is>
      </c>
      <c r="E218" s="57" t="inlineStr">
        <is>
          <t>OLTP + OLAP</t>
        </is>
      </c>
      <c r="F218" s="57" t="inlineStr">
        <is>
          <t>-</t>
        </is>
      </c>
      <c r="G218" s="59" t="inlineStr">
        <is>
          <t>System-generated source-row ordinal; not a stable business key.</t>
        </is>
      </c>
      <c r="H218" s="59" t="inlineStr">
        <is>
          <t>Stored source column</t>
        </is>
      </c>
    </row>
    <row r="219" ht="15" customHeight="1">
      <c r="A219" s="57" t="inlineStr">
        <is>
          <t>Partners</t>
        </is>
      </c>
      <c r="B219" s="57" t="n">
        <v>2</v>
      </c>
      <c r="C219" s="59" t="inlineStr">
        <is>
          <t>Row ID</t>
        </is>
      </c>
      <c r="D219" s="59" t="inlineStr">
        <is>
          <t>Physical / Text</t>
        </is>
      </c>
      <c r="E219" s="57" t="inlineStr">
        <is>
          <t>OLTP + OLAP</t>
        </is>
      </c>
      <c r="F219" s="57" t="inlineStr">
        <is>
          <t>Key, Required</t>
        </is>
      </c>
      <c r="G219" s="59" t="inlineStr">
        <is>
          <t>Immutable row key generated by the source database.</t>
        </is>
      </c>
      <c r="H219" s="59" t="inlineStr">
        <is>
          <t>Stored source column; initial value: UNIQUEID("PackedUUID")</t>
        </is>
      </c>
    </row>
    <row r="220" ht="15" customHeight="1">
      <c r="A220" s="57" t="inlineStr">
        <is>
          <t>Partners</t>
        </is>
      </c>
      <c r="B220" s="57" t="n">
        <v>3</v>
      </c>
      <c r="C220" s="59" t="inlineStr">
        <is>
          <t>Partner Name</t>
        </is>
      </c>
      <c r="D220" s="59" t="inlineStr">
        <is>
          <t>Physical / Name</t>
        </is>
      </c>
      <c r="E220" s="57" t="inlineStr">
        <is>
          <t>OLTP + OLAP</t>
        </is>
      </c>
      <c r="F220" s="57" t="inlineStr">
        <is>
          <t>OLTP: Label; OLAP: Label, Required</t>
        </is>
      </c>
      <c r="G220" s="59" t="inlineStr">
        <is>
          <t>Stores the authoritative source value for Partner Name.</t>
        </is>
      </c>
      <c r="H220" s="59" t="inlineStr">
        <is>
          <t>Stored source column</t>
        </is>
      </c>
    </row>
    <row r="221" ht="15" customHeight="1">
      <c r="A221" s="57" t="inlineStr">
        <is>
          <t>Partners</t>
        </is>
      </c>
      <c r="B221" s="57" t="n">
        <v>4</v>
      </c>
      <c r="C221" s="59" t="inlineStr">
        <is>
          <t>Partner Role</t>
        </is>
      </c>
      <c r="D221" s="59" t="inlineStr">
        <is>
          <t>Physical / Enum</t>
        </is>
      </c>
      <c r="E221" s="57" t="inlineStr">
        <is>
          <t>OLTP + OLAP</t>
        </is>
      </c>
      <c r="F221" s="57" t="inlineStr">
        <is>
          <t>OLTP: -; OLAP: Required</t>
        </is>
      </c>
      <c r="G221" s="59" t="inlineStr">
        <is>
          <t>Stores the authoritative source value for Partner Role.</t>
        </is>
      </c>
      <c r="H221" s="59" t="inlineStr">
        <is>
          <t>Stored source column</t>
        </is>
      </c>
    </row>
    <row r="222" ht="15" customHeight="1">
      <c r="A222" s="57" t="inlineStr">
        <is>
          <t>Partners</t>
        </is>
      </c>
      <c r="B222" s="57" t="n">
        <v>5</v>
      </c>
      <c r="C222" s="59" t="inlineStr">
        <is>
          <t>Email</t>
        </is>
      </c>
      <c r="D222" s="59" t="inlineStr">
        <is>
          <t>Physical / Email</t>
        </is>
      </c>
      <c r="E222" s="57" t="inlineStr">
        <is>
          <t>OLTP + OLAP</t>
        </is>
      </c>
      <c r="F222" s="57" t="inlineStr">
        <is>
          <t>OLTP: PII; OLAP: Required</t>
        </is>
      </c>
      <c r="G222" s="59" t="inlineStr">
        <is>
          <t>Stores the authoritative source value for Email.</t>
        </is>
      </c>
      <c r="H222" s="59" t="inlineStr">
        <is>
          <t>Stored source column</t>
        </is>
      </c>
    </row>
    <row r="223" ht="21.60000038146973" customHeight="1">
      <c r="A223" s="57" t="inlineStr">
        <is>
          <t>Partners</t>
        </is>
      </c>
      <c r="B223" s="57" t="n">
        <v>6</v>
      </c>
      <c r="C223" s="59" t="inlineStr">
        <is>
          <t>Related Cash Pool Contributions</t>
        </is>
      </c>
      <c r="D223" s="59" t="inlineStr">
        <is>
          <t>VC / List</t>
        </is>
      </c>
      <c r="E223" s="57" t="inlineStr">
        <is>
          <t>OLAP only</t>
        </is>
      </c>
      <c r="F223" s="57" t="inlineStr">
        <is>
          <t>-</t>
        </is>
      </c>
      <c r="G223" s="59" t="inlineStr">
        <is>
          <t>Reverse-reference list of child rows that point to this record.</t>
        </is>
      </c>
      <c r="H223" s="59" t="inlineStr">
        <is>
          <t>REF_ROWS("Cash Pool Contributions", "Ref Partner")</t>
        </is>
      </c>
    </row>
    <row r="224" ht="15" customHeight="1">
      <c r="A224" s="57" t="inlineStr">
        <is>
          <t>Partners</t>
        </is>
      </c>
      <c r="B224" s="57" t="n">
        <v>7</v>
      </c>
      <c r="C224" s="59" t="inlineStr">
        <is>
          <t>Related Settlements</t>
        </is>
      </c>
      <c r="D224" s="59" t="inlineStr">
        <is>
          <t>VC / List</t>
        </is>
      </c>
      <c r="E224" s="57" t="inlineStr">
        <is>
          <t>OLAP only</t>
        </is>
      </c>
      <c r="F224" s="57" t="inlineStr">
        <is>
          <t>-</t>
        </is>
      </c>
      <c r="G224" s="59" t="inlineStr">
        <is>
          <t>Reverse-reference list of child rows that point to this record.</t>
        </is>
      </c>
      <c r="H224" s="59" t="inlineStr">
        <is>
          <t>REF_ROWS("Settlements", "Ref Partner")</t>
        </is>
      </c>
    </row>
    <row r="225" ht="15" customHeight="1">
      <c r="A225" s="57" t="inlineStr">
        <is>
          <t>Partners</t>
        </is>
      </c>
      <c r="B225" s="57" t="n">
        <v>8</v>
      </c>
      <c r="C225" s="59" t="inlineStr">
        <is>
          <t>Current Pool Contribution</t>
        </is>
      </c>
      <c r="D225" s="59" t="inlineStr">
        <is>
          <t>VC / Price</t>
        </is>
      </c>
      <c r="E225" s="57" t="inlineStr">
        <is>
          <t>OLAP only</t>
        </is>
      </c>
      <c r="F225" s="57" t="inlineStr">
        <is>
          <t>-</t>
        </is>
      </c>
      <c r="G225" s="59" t="inlineStr">
        <is>
          <t>Derived financial aggregate or balance for operational or analytical use.</t>
        </is>
      </c>
      <c r="H225" s="59" t="inlineStr">
        <is>
          <t>SUM( SELECT( Cash Pool Contributions[Net Contribution], [Ref Partner] = [_THISROW].[Row ID] ))</t>
        </is>
      </c>
    </row>
    <row r="226" ht="15" customHeight="1">
      <c r="A226" s="57" t="inlineStr">
        <is>
          <t>Partners</t>
        </is>
      </c>
      <c r="B226" s="57" t="n">
        <v>9</v>
      </c>
      <c r="C226" s="59" t="inlineStr">
        <is>
          <t>Current Pool Share</t>
        </is>
      </c>
      <c r="D226" s="59" t="inlineStr">
        <is>
          <t>VC / Percent</t>
        </is>
      </c>
      <c r="E226" s="57" t="inlineStr">
        <is>
          <t>OLAP only</t>
        </is>
      </c>
      <c r="F226" s="57" t="inlineStr">
        <is>
          <t>-</t>
        </is>
      </c>
      <c r="G226" s="59" t="inlineStr">
        <is>
          <t>Derived ratio or performance measure calculated from governed source values.</t>
        </is>
      </c>
      <c r="H226" s="59" t="inlineStr">
        <is>
          <t>IF( SUM(Cash Pool Contributions[Net Contribution]) &gt; 0, [Current Pool Contribution] / SUM(Cash Pool Contributions[Net Contribution]), 0)</t>
        </is>
      </c>
    </row>
    <row r="227" ht="15" customHeight="1">
      <c r="A227" s="57" t="inlineStr">
        <is>
          <t>Partners</t>
        </is>
      </c>
      <c r="B227" s="57" t="n">
        <v>10</v>
      </c>
      <c r="C227" s="59" t="inlineStr">
        <is>
          <t>Total Profit Earned</t>
        </is>
      </c>
      <c r="D227" s="59" t="inlineStr">
        <is>
          <t>VC / Price</t>
        </is>
      </c>
      <c r="E227" s="57" t="inlineStr">
        <is>
          <t>OLAP only</t>
        </is>
      </c>
      <c r="F227" s="57" t="inlineStr">
        <is>
          <t>-</t>
        </is>
      </c>
      <c r="G227" s="59" t="inlineStr">
        <is>
          <t>Derived financial aggregate or balance for operational or analytical use.</t>
        </is>
      </c>
      <c r="H227" s="59" t="inlineStr">
        <is>
          <t>IFS( [Partner Role] = "A", SUM(Repayments[Partner A Profit]), [Partner Role] = "B", SUM(Repayments[Partner B Profit]))</t>
        </is>
      </c>
    </row>
    <row r="228" ht="15" customHeight="1">
      <c r="A228" s="57" t="inlineStr">
        <is>
          <t>Partners</t>
        </is>
      </c>
      <c r="B228" s="57" t="n">
        <v>11</v>
      </c>
      <c r="C228" s="59" t="inlineStr">
        <is>
          <t>Total Settlement Created</t>
        </is>
      </c>
      <c r="D228" s="59" t="inlineStr">
        <is>
          <t>VC / Price</t>
        </is>
      </c>
      <c r="E228" s="57" t="inlineStr">
        <is>
          <t>OLAP only</t>
        </is>
      </c>
      <c r="F228" s="57" t="inlineStr">
        <is>
          <t>-</t>
        </is>
      </c>
      <c r="G228" s="59" t="inlineStr">
        <is>
          <t>Derived financial aggregate or balance for operational or analytical use.</t>
        </is>
      </c>
      <c r="H228" s="59" t="inlineStr">
        <is>
          <t>SUM( [Related Settlements][Amount])</t>
        </is>
      </c>
    </row>
    <row r="229" ht="21.60000038146973" customHeight="1">
      <c r="A229" s="57" t="inlineStr">
        <is>
          <t>Partners</t>
        </is>
      </c>
      <c r="B229" s="57" t="n">
        <v>12</v>
      </c>
      <c r="C229" s="59" t="inlineStr">
        <is>
          <t>Completed Settlement</t>
        </is>
      </c>
      <c r="D229" s="59" t="inlineStr">
        <is>
          <t>VC / Price</t>
        </is>
      </c>
      <c r="E229" s="57" t="inlineStr">
        <is>
          <t>OLAP only</t>
        </is>
      </c>
      <c r="F229" s="57" t="inlineStr">
        <is>
          <t>-</t>
        </is>
      </c>
      <c r="G229" s="59" t="inlineStr">
        <is>
          <t>Derived financial aggregate or balance for operational or analytical use.</t>
        </is>
      </c>
      <c r="H229" s="59" t="inlineStr">
        <is>
          <t>SUM( SELECT( Settlements[Amount], AND([Ref Partner] = [_THISROW].[Row ID], [Status] = "Completed") ))</t>
        </is>
      </c>
    </row>
    <row r="230" ht="15" customHeight="1">
      <c r="A230" s="57" t="inlineStr">
        <is>
          <t>Partners</t>
        </is>
      </c>
      <c r="B230" s="57" t="n">
        <v>13</v>
      </c>
      <c r="C230" s="59" t="inlineStr">
        <is>
          <t>Pending Settlement</t>
        </is>
      </c>
      <c r="D230" s="59" t="inlineStr">
        <is>
          <t>VC / Price</t>
        </is>
      </c>
      <c r="E230" s="57" t="inlineStr">
        <is>
          <t>OLAP only</t>
        </is>
      </c>
      <c r="F230" s="57" t="inlineStr">
        <is>
          <t>-</t>
        </is>
      </c>
      <c r="G230" s="59" t="inlineStr">
        <is>
          <t>Derived financial aggregate or balance for operational or analytical use.</t>
        </is>
      </c>
      <c r="H230" s="59" t="inlineStr">
        <is>
          <t>SUM( SELECT( Settlements[Amount], AND([Ref Partner] = [_THISROW].[Row ID], [Status] = "Pending") ))</t>
        </is>
      </c>
    </row>
    <row r="231" ht="15" customHeight="1">
      <c r="A231" s="57" t="inlineStr">
        <is>
          <t>Partners</t>
        </is>
      </c>
      <c r="B231" s="57" t="n">
        <v>14</v>
      </c>
      <c r="C231" s="59" t="inlineStr">
        <is>
          <t>Available to Settle</t>
        </is>
      </c>
      <c r="D231" s="59" t="inlineStr">
        <is>
          <t>VC / Price</t>
        </is>
      </c>
      <c r="E231" s="57" t="inlineStr">
        <is>
          <t>OLAP only</t>
        </is>
      </c>
      <c r="F231" s="57" t="inlineStr">
        <is>
          <t>-</t>
        </is>
      </c>
      <c r="G231" s="59" t="inlineStr">
        <is>
          <t>Derived AppSheet value used by the app workflow, presentation, or reporting model.</t>
        </is>
      </c>
      <c r="H231" s="59" t="inlineStr">
        <is>
          <t>[Total Profit Earned] - [Total Settlement Created]</t>
        </is>
      </c>
    </row>
    <row r="232" ht="15" customHeight="1">
      <c r="A232" s="57" t="inlineStr">
        <is>
          <t>Partners</t>
        </is>
      </c>
      <c r="B232" s="57" t="n">
        <v>15</v>
      </c>
      <c r="C232" s="59" t="inlineStr">
        <is>
          <t>Summary - Available Pending Settlement</t>
        </is>
      </c>
      <c r="D232" s="59" t="inlineStr">
        <is>
          <t>VC / Text</t>
        </is>
      </c>
      <c r="E232" s="57" t="inlineStr">
        <is>
          <t>OLAP only</t>
        </is>
      </c>
      <c r="F232" s="57" t="inlineStr">
        <is>
          <t>-</t>
        </is>
      </c>
      <c r="G232" s="59" t="inlineStr">
        <is>
          <t>Presentation-oriented label or bilingual display value.</t>
        </is>
      </c>
      <c r="H232" s="59" t="inlineStr">
        <is>
          <t>IF( [Pending Settlement] &gt; 0, CONCATENATE("รอโอน / Pending Settlement: ", TEXT([Pending Settlement])), CONCATENATE("พร้อมโอน / Available to Settle: ", TEXT([Available to Settle])))</t>
        </is>
      </c>
    </row>
    <row r="233" ht="15" customHeight="1">
      <c r="A233" s="57" t="inlineStr">
        <is>
          <t>Partners</t>
        </is>
      </c>
      <c r="B233" s="57" t="n">
        <v>16</v>
      </c>
      <c r="C233" s="59" t="inlineStr">
        <is>
          <t>Summary - Completed Settlement</t>
        </is>
      </c>
      <c r="D233" s="59" t="inlineStr">
        <is>
          <t>VC / Text</t>
        </is>
      </c>
      <c r="E233" s="57" t="inlineStr">
        <is>
          <t>OLAP only</t>
        </is>
      </c>
      <c r="F233" s="57" t="inlineStr">
        <is>
          <t>-</t>
        </is>
      </c>
      <c r="G233" s="59" t="inlineStr">
        <is>
          <t>Presentation-oriented label or bilingual display value.</t>
        </is>
      </c>
      <c r="H233" s="59" t="inlineStr">
        <is>
          <t>CONCATENATE("โอนแล้ว / Completed Settlement: ", TEXT([Completed Settlement]))</t>
        </is>
      </c>
    </row>
    <row r="234" ht="15" customHeight="1">
      <c r="A234" s="57" t="inlineStr">
        <is>
          <t>Partners</t>
        </is>
      </c>
      <c r="B234" s="57" t="n">
        <v>17</v>
      </c>
      <c r="C234" s="59" t="inlineStr">
        <is>
          <t>Summary - Total Profit Earned</t>
        </is>
      </c>
      <c r="D234" s="59" t="inlineStr">
        <is>
          <t>VC / Text</t>
        </is>
      </c>
      <c r="E234" s="57" t="inlineStr">
        <is>
          <t>OLAP only</t>
        </is>
      </c>
      <c r="F234" s="57" t="inlineStr">
        <is>
          <t>-</t>
        </is>
      </c>
      <c r="G234" s="59" t="inlineStr">
        <is>
          <t>Presentation-oriented label or bilingual display value.</t>
        </is>
      </c>
      <c r="H234" s="59" t="inlineStr">
        <is>
          <t>CONCATENATE("กำไรรวมที่ได้รับ / Total Profit: ", TEXT([Total Profit Earned]))</t>
        </is>
      </c>
    </row>
    <row r="235" ht="21.60000038146973" customHeight="1">
      <c r="A235" s="57" t="inlineStr">
        <is>
          <t>Repayments</t>
        </is>
      </c>
      <c r="B235" s="57" t="n">
        <v>1</v>
      </c>
      <c r="C235" s="59" t="inlineStr">
        <is>
          <t>_RowNumber</t>
        </is>
      </c>
      <c r="D235" s="59" t="inlineStr">
        <is>
          <t>Physical / Number</t>
        </is>
      </c>
      <c r="E235" s="57" t="inlineStr">
        <is>
          <t>OLTP + OLAP</t>
        </is>
      </c>
      <c r="F235" s="57" t="inlineStr">
        <is>
          <t>-</t>
        </is>
      </c>
      <c r="G235" s="59" t="inlineStr">
        <is>
          <t>System-generated source-row ordinal; not a stable business key.</t>
        </is>
      </c>
      <c r="H235" s="59" t="inlineStr">
        <is>
          <t>Stored source column</t>
        </is>
      </c>
    </row>
    <row r="236" ht="32.40000152587891" customHeight="1">
      <c r="A236" s="57" t="inlineStr">
        <is>
          <t>Repayments</t>
        </is>
      </c>
      <c r="B236" s="57" t="n">
        <v>2</v>
      </c>
      <c r="C236" s="59" t="inlineStr">
        <is>
          <t>Row ID</t>
        </is>
      </c>
      <c r="D236" s="59" t="inlineStr">
        <is>
          <t>Physical / Text</t>
        </is>
      </c>
      <c r="E236" s="57" t="inlineStr">
        <is>
          <t>OLTP + OLAP</t>
        </is>
      </c>
      <c r="F236" s="57" t="inlineStr">
        <is>
          <t>Key, Required</t>
        </is>
      </c>
      <c r="G236" s="59" t="inlineStr">
        <is>
          <t>Immutable row key generated by the source database.</t>
        </is>
      </c>
      <c r="H236" s="59" t="inlineStr">
        <is>
          <t>Stored source column; initial value: UNIQUEID("PackedUUID")</t>
        </is>
      </c>
    </row>
    <row r="237" ht="15" customHeight="1">
      <c r="A237" s="57" t="inlineStr">
        <is>
          <t>Repayments</t>
        </is>
      </c>
      <c r="B237" s="57" t="n">
        <v>3</v>
      </c>
      <c r="C237" s="59" t="inlineStr">
        <is>
          <t>Payment Date</t>
        </is>
      </c>
      <c r="D237" s="59" t="inlineStr">
        <is>
          <t>Physical / Date</t>
        </is>
      </c>
      <c r="E237" s="57" t="inlineStr">
        <is>
          <t>OLTP + OLAP</t>
        </is>
      </c>
      <c r="F237" s="57" t="inlineStr">
        <is>
          <t>Label, Required</t>
        </is>
      </c>
      <c r="G237" s="59" t="inlineStr">
        <is>
          <t>Stores the source date for Payment Date.</t>
        </is>
      </c>
      <c r="H237" s="59" t="inlineStr">
        <is>
          <t>Stored source column; initial value: TODAY()</t>
        </is>
      </c>
    </row>
    <row r="238" ht="15" customHeight="1">
      <c r="A238" s="57" t="inlineStr">
        <is>
          <t>Repayments</t>
        </is>
      </c>
      <c r="B238" s="57" t="n">
        <v>4</v>
      </c>
      <c r="C238" s="59" t="inlineStr">
        <is>
          <t>Principal Paid</t>
        </is>
      </c>
      <c r="D238" s="59" t="inlineStr">
        <is>
          <t>Physical / Price</t>
        </is>
      </c>
      <c r="E238" s="57" t="inlineStr">
        <is>
          <t>OLTP + OLAP</t>
        </is>
      </c>
      <c r="F238" s="57" t="inlineStr">
        <is>
          <t>Required</t>
        </is>
      </c>
      <c r="G238" s="59" t="inlineStr">
        <is>
          <t>Stores the financially material source value for Principal Paid.</t>
        </is>
      </c>
      <c r="H238" s="59" t="inlineStr">
        <is>
          <t>Stored source column; initial value: 0; OLTP Valid_If: AND( [_THIS] &gt;= 0, [_THIS] &lt;= ( [Ref Charges].[Principal Due] - SUM( SELECT( Repayments[Principal Paid], AND( [Ref Charges] = [_THISROW].[Ref Charges], [Row ID] &lt;&gt; [_THISROW].[Row ID] ) ) ) ))</t>
        </is>
      </c>
    </row>
    <row r="239" ht="15" customHeight="1">
      <c r="A239" s="57" t="inlineStr">
        <is>
          <t>Repayments</t>
        </is>
      </c>
      <c r="B239" s="57" t="n">
        <v>5</v>
      </c>
      <c r="C239" s="59" t="inlineStr">
        <is>
          <t>Interest Paid</t>
        </is>
      </c>
      <c r="D239" s="59" t="inlineStr">
        <is>
          <t>Physical / Price</t>
        </is>
      </c>
      <c r="E239" s="57" t="inlineStr">
        <is>
          <t>OLTP + OLAP</t>
        </is>
      </c>
      <c r="F239" s="57" t="inlineStr">
        <is>
          <t>Required</t>
        </is>
      </c>
      <c r="G239" s="59" t="inlineStr">
        <is>
          <t>Stores the financially material source value for Interest Paid.</t>
        </is>
      </c>
      <c r="H239" s="59" t="inlineStr">
        <is>
          <t>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t>
        </is>
      </c>
    </row>
    <row r="240" ht="15" customHeight="1">
      <c r="A240" s="57" t="inlineStr">
        <is>
          <t>Repayments</t>
        </is>
      </c>
      <c r="B240" s="57" t="n">
        <v>6</v>
      </c>
      <c r="C240" s="59" t="inlineStr">
        <is>
          <t>Notes</t>
        </is>
      </c>
      <c r="D240" s="59" t="inlineStr">
        <is>
          <t>Physical / LongText</t>
        </is>
      </c>
      <c r="E240" s="57" t="inlineStr">
        <is>
          <t>OLTP + OLAP</t>
        </is>
      </c>
      <c r="F240" s="57" t="inlineStr">
        <is>
          <t>-</t>
        </is>
      </c>
      <c r="G240" s="59" t="inlineStr">
        <is>
          <t>Stores the authoritative source value for Notes.</t>
        </is>
      </c>
      <c r="H240" s="59" t="inlineStr">
        <is>
          <t>Stored source column</t>
        </is>
      </c>
    </row>
    <row r="241" ht="15" customHeight="1">
      <c r="A241" s="57" t="inlineStr">
        <is>
          <t>Repayments</t>
        </is>
      </c>
      <c r="B241" s="57" t="n">
        <v>7</v>
      </c>
      <c r="C241" s="59" t="inlineStr">
        <is>
          <t>Ref Loans</t>
        </is>
      </c>
      <c r="D241" s="59" t="inlineStr">
        <is>
          <t>Physical / Ref</t>
        </is>
      </c>
      <c r="E241" s="57" t="inlineStr">
        <is>
          <t>OLTP + OLAP</t>
        </is>
      </c>
      <c r="F241" s="57" t="inlineStr">
        <is>
          <t>-</t>
        </is>
      </c>
      <c r="G241" s="59" t="inlineStr">
        <is>
          <t>Reference key that links this row to the configured parent table.</t>
        </is>
      </c>
      <c r="H241" s="59" t="inlineStr">
        <is>
          <t>Stored source column</t>
        </is>
      </c>
    </row>
    <row r="242" ht="21.60000038146973" customHeight="1">
      <c r="A242" s="57" t="inlineStr">
        <is>
          <t>Repayments</t>
        </is>
      </c>
      <c r="B242" s="57" t="n">
        <v>8</v>
      </c>
      <c r="C242" s="59" t="inlineStr">
        <is>
          <t>Ref Charges</t>
        </is>
      </c>
      <c r="D242" s="59" t="inlineStr">
        <is>
          <t>Physical / Ref</t>
        </is>
      </c>
      <c r="E242" s="57" t="inlineStr">
        <is>
          <t>OLTP + OLAP</t>
        </is>
      </c>
      <c r="F242" s="57" t="inlineStr">
        <is>
          <t>Required</t>
        </is>
      </c>
      <c r="G242" s="59" t="inlineStr">
        <is>
          <t>Reference key that links this row to the configured parent table.</t>
        </is>
      </c>
      <c r="H242" s="59" t="inlineStr">
        <is>
          <t>Stored source column</t>
        </is>
      </c>
    </row>
    <row r="243" ht="15" customHeight="1">
      <c r="A243" s="57" t="inlineStr">
        <is>
          <t>Repayments</t>
        </is>
      </c>
      <c r="B243" s="57" t="n">
        <v>9</v>
      </c>
      <c r="C243" s="59" t="inlineStr">
        <is>
          <t>Created By</t>
        </is>
      </c>
      <c r="D243" s="59" t="inlineStr">
        <is>
          <t>Physical / Email</t>
        </is>
      </c>
      <c r="E243" s="57" t="inlineStr">
        <is>
          <t>OLTP + OLAP</t>
        </is>
      </c>
      <c r="F243" s="57" t="inlineStr">
        <is>
          <t>PII</t>
        </is>
      </c>
      <c r="G243" s="59" t="inlineStr">
        <is>
          <t>Stores the authoritative source value for Created By.</t>
        </is>
      </c>
      <c r="H243" s="59" t="inlineStr">
        <is>
          <t>Stored source column; initial value: USEREMAIL()</t>
        </is>
      </c>
    </row>
    <row r="244" ht="21.60000038146973" customHeight="1">
      <c r="A244" s="57" t="inlineStr">
        <is>
          <t>Repayments</t>
        </is>
      </c>
      <c r="B244" s="57" t="n">
        <v>10</v>
      </c>
      <c r="C244" s="59" t="inlineStr">
        <is>
          <t>Borrower Name</t>
        </is>
      </c>
      <c r="D244" s="59" t="inlineStr">
        <is>
          <t>VC / Name</t>
        </is>
      </c>
      <c r="E244" s="57" t="inlineStr">
        <is>
          <t>OLTP + OLAP</t>
        </is>
      </c>
      <c r="F244" s="57" t="inlineStr">
        <is>
          <t>-</t>
        </is>
      </c>
      <c r="G244" s="59" t="inlineStr">
        <is>
          <t>Derived AppSheet value used by the app workflow, presentation, or reporting model.</t>
        </is>
      </c>
      <c r="H244" s="59" t="inlineStr">
        <is>
          <t>[Ref Loans].[Borrower Name]</t>
        </is>
      </c>
    </row>
    <row r="245" ht="21.60000038146973" customHeight="1">
      <c r="A245" s="57" t="inlineStr">
        <is>
          <t>Repayments</t>
        </is>
      </c>
      <c r="B245" s="57" t="n">
        <v>11</v>
      </c>
      <c r="C245" s="59" t="inlineStr">
        <is>
          <t>Principal Returned Days MTD</t>
        </is>
      </c>
      <c r="D245" s="59" t="inlineStr">
        <is>
          <t>VC / Number</t>
        </is>
      </c>
      <c r="E245" s="57" t="inlineStr">
        <is>
          <t>OLTP + OLAP</t>
        </is>
      </c>
      <c r="F245" s="57" t="inlineStr">
        <is>
          <t>-</t>
        </is>
      </c>
      <c r="G245" s="59" t="inlineStr">
        <is>
          <t>Derived ratio or performance measure calculated from governed source values.</t>
        </is>
      </c>
      <c r="H245" s="59" t="inlineStr">
        <is>
          <t>IF( OR([Principal Paid] &lt;= 0, [Payment Date] &gt; TODAY()), 0, [Principal Paid] * IF( AND( MONTH([Payment Date]) = MONTH(TODAY()), YEAR([Payment Date]) = YEAR(TODAY()) ), DAY(TODAY()) - DAY([Payment Date]) + 1, DAY(TODAY()) ))</t>
        </is>
      </c>
    </row>
    <row r="246" ht="15" customHeight="1">
      <c r="A246" s="57" t="inlineStr">
        <is>
          <t>Repayments</t>
        </is>
      </c>
      <c r="B246" s="57" t="n">
        <v>12</v>
      </c>
      <c r="C246" s="59" t="inlineStr">
        <is>
          <t>Pool Total at Payment Date</t>
        </is>
      </c>
      <c r="D246" s="59" t="inlineStr">
        <is>
          <t>VC / Price</t>
        </is>
      </c>
      <c r="E246" s="57" t="inlineStr">
        <is>
          <t>OLAP only</t>
        </is>
      </c>
      <c r="F246" s="57" t="inlineStr">
        <is>
          <t>-</t>
        </is>
      </c>
      <c r="G246" s="59" t="inlineStr">
        <is>
          <t>Derived date, time-window, age, or delinquency measure.</t>
        </is>
      </c>
      <c r="H246" s="59" t="inlineStr">
        <is>
          <t>SUM( SELECT( Cash Pool Contributions[Net Contribution], [Contribution Date] &lt;= [_THISROW].[Payment Date] ))</t>
        </is>
      </c>
    </row>
    <row r="247" ht="15" customHeight="1">
      <c r="A247" s="57" t="inlineStr">
        <is>
          <t>Repayments</t>
        </is>
      </c>
      <c r="B247" s="57" t="n">
        <v>13</v>
      </c>
      <c r="C247" s="59" t="inlineStr">
        <is>
          <t>Partner A Contribution at Payment Date</t>
        </is>
      </c>
      <c r="D247" s="59" t="inlineStr">
        <is>
          <t>VC / Price</t>
        </is>
      </c>
      <c r="E247" s="57" t="inlineStr">
        <is>
          <t>OLAP only</t>
        </is>
      </c>
      <c r="F247" s="57" t="inlineStr">
        <is>
          <t>-</t>
        </is>
      </c>
      <c r="G247" s="59" t="inlineStr">
        <is>
          <t>Derived date, time-window, age, or delinquency measure.</t>
        </is>
      </c>
      <c r="H247" s="59" t="inlineStr">
        <is>
          <t>SUM( SELECT( Cash Pool Contributions[Net Contribution], AND( [Contribution Date] &lt;= [_THISROW].[Payment Date], [Ref Partner].[Partner Role] = "A" ) ))</t>
        </is>
      </c>
    </row>
    <row r="248" ht="15" customHeight="1">
      <c r="A248" s="57" t="inlineStr">
        <is>
          <t>Repayments</t>
        </is>
      </c>
      <c r="B248" s="57" t="n">
        <v>14</v>
      </c>
      <c r="C248" s="59" t="inlineStr">
        <is>
          <t>Partner B Contribution at Payment Date</t>
        </is>
      </c>
      <c r="D248" s="59" t="inlineStr">
        <is>
          <t>VC / Price</t>
        </is>
      </c>
      <c r="E248" s="57" t="inlineStr">
        <is>
          <t>OLAP only</t>
        </is>
      </c>
      <c r="F248" s="57" t="inlineStr">
        <is>
          <t>-</t>
        </is>
      </c>
      <c r="G248" s="59" t="inlineStr">
        <is>
          <t>Derived date, time-window, age, or delinquency measure.</t>
        </is>
      </c>
      <c r="H248" s="59" t="inlineStr">
        <is>
          <t>SUM( SELECT( Cash Pool Contributions[Net Contribution], AND( [Contribution Date] &lt;= [_THISROW].[Payment Date], [Ref Partner].[Partner Role] = "B" ) ))</t>
        </is>
      </c>
    </row>
    <row r="249" ht="15" customHeight="1">
      <c r="A249" s="57" t="inlineStr">
        <is>
          <t>Repayments</t>
        </is>
      </c>
      <c r="B249" s="57" t="n">
        <v>15</v>
      </c>
      <c r="C249" s="59" t="inlineStr">
        <is>
          <t>Partner A Profit Share</t>
        </is>
      </c>
      <c r="D249" s="59" t="inlineStr">
        <is>
          <t>VC / Percent</t>
        </is>
      </c>
      <c r="E249" s="57" t="inlineStr">
        <is>
          <t>OLAP only</t>
        </is>
      </c>
      <c r="F249" s="57" t="inlineStr">
        <is>
          <t>-</t>
        </is>
      </c>
      <c r="G249" s="59" t="inlineStr">
        <is>
          <t>Derived ratio or performance measure calculated from governed source values.</t>
        </is>
      </c>
      <c r="H249" s="59" t="inlineStr">
        <is>
          <t>IF( [Pool Total at Payment Date] &gt; 0, [Partner A Contribution at Payment Date] / [Pool Total at Payment Date], 0)</t>
        </is>
      </c>
    </row>
    <row r="250" ht="15" customHeight="1">
      <c r="A250" s="57" t="inlineStr">
        <is>
          <t>Repayments</t>
        </is>
      </c>
      <c r="B250" s="57" t="n">
        <v>16</v>
      </c>
      <c r="C250" s="59" t="inlineStr">
        <is>
          <t>Partner B Profit Share</t>
        </is>
      </c>
      <c r="D250" s="59" t="inlineStr">
        <is>
          <t>VC / Percent</t>
        </is>
      </c>
      <c r="E250" s="57" t="inlineStr">
        <is>
          <t>OLAP only</t>
        </is>
      </c>
      <c r="F250" s="57" t="inlineStr">
        <is>
          <t>-</t>
        </is>
      </c>
      <c r="G250" s="59" t="inlineStr">
        <is>
          <t>Derived ratio or performance measure calculated from governed source values.</t>
        </is>
      </c>
      <c r="H250" s="59" t="inlineStr">
        <is>
          <t>IF( [Pool Total at Payment Date] &gt; 0, [Partner B Contribution at Payment Date] / [Pool Total at Payment Date], 0)</t>
        </is>
      </c>
    </row>
    <row r="251" ht="15" customHeight="1">
      <c r="A251" s="57" t="inlineStr">
        <is>
          <t>Repayments</t>
        </is>
      </c>
      <c r="B251" s="57" t="n">
        <v>17</v>
      </c>
      <c r="C251" s="59" t="inlineStr">
        <is>
          <t>Partner A Profit</t>
        </is>
      </c>
      <c r="D251" s="59" t="inlineStr">
        <is>
          <t>VC / Price</t>
        </is>
      </c>
      <c r="E251" s="57" t="inlineStr">
        <is>
          <t>OLAP only</t>
        </is>
      </c>
      <c r="F251" s="57" t="inlineStr">
        <is>
          <t>-</t>
        </is>
      </c>
      <c r="G251" s="59" t="inlineStr">
        <is>
          <t>Derived financial aggregate or balance for operational or analytical use.</t>
        </is>
      </c>
      <c r="H251" s="59" t="inlineStr">
        <is>
          <t>[Interest Paid] * [Partner A Profit Share]</t>
        </is>
      </c>
    </row>
    <row r="252" ht="21.60000038146973" customHeight="1">
      <c r="A252" s="57" t="inlineStr">
        <is>
          <t>Repayments</t>
        </is>
      </c>
      <c r="B252" s="57" t="n">
        <v>18</v>
      </c>
      <c r="C252" s="59" t="inlineStr">
        <is>
          <t>Partner B Profit</t>
        </is>
      </c>
      <c r="D252" s="59" t="inlineStr">
        <is>
          <t>VC / Price</t>
        </is>
      </c>
      <c r="E252" s="57" t="inlineStr">
        <is>
          <t>OLAP only</t>
        </is>
      </c>
      <c r="F252" s="57" t="inlineStr">
        <is>
          <t>-</t>
        </is>
      </c>
      <c r="G252" s="59" t="inlineStr">
        <is>
          <t>Derived financial aggregate or balance for operational or analytical use.</t>
        </is>
      </c>
      <c r="H252" s="59" t="inlineStr">
        <is>
          <t>[Interest Paid] * [Partner B Profit Share]</t>
        </is>
      </c>
    </row>
    <row r="253" ht="15" customHeight="1">
      <c r="A253" s="57" t="inlineStr">
        <is>
          <t>Repayments</t>
        </is>
      </c>
      <c r="B253" s="57" t="n">
        <v>19</v>
      </c>
      <c r="C253" s="59" t="inlineStr">
        <is>
          <t>Header - Profit</t>
        </is>
      </c>
      <c r="D253" s="59" t="inlineStr">
        <is>
          <t>VC / Text</t>
        </is>
      </c>
      <c r="E253" s="57" t="inlineStr">
        <is>
          <t>OLAP only</t>
        </is>
      </c>
      <c r="F253" s="57" t="inlineStr">
        <is>
          <t>-</t>
        </is>
      </c>
      <c r="G253" s="59" t="inlineStr">
        <is>
          <t>Presentation-oriented label or bilingual display value.</t>
        </is>
      </c>
      <c r="H253" s="59" t="inlineStr">
        <is>
          <t>💰 การแบ่งกำไร</t>
        </is>
      </c>
    </row>
    <row r="254" ht="15" customHeight="1">
      <c r="A254" s="57" t="inlineStr">
        <is>
          <t>Repayments</t>
        </is>
      </c>
      <c r="B254" s="57" t="n">
        <v>20</v>
      </c>
      <c r="C254" s="59" t="inlineStr">
        <is>
          <t>Borrower Name TE</t>
        </is>
      </c>
      <c r="D254" s="59" t="inlineStr">
        <is>
          <t>VC / Text</t>
        </is>
      </c>
      <c r="E254" s="57" t="inlineStr">
        <is>
          <t>OLTP + OLAP</t>
        </is>
      </c>
      <c r="F254" s="57" t="inlineStr">
        <is>
          <t>-</t>
        </is>
      </c>
      <c r="G254" s="59" t="inlineStr">
        <is>
          <t>Presentation-oriented label or bilingual display value.</t>
        </is>
      </c>
      <c r="H254" s="59" t="inlineStr">
        <is>
          <t>[Ref Loans].[Borrower Name TE]</t>
        </is>
      </c>
    </row>
    <row r="255" ht="15" customHeight="1">
      <c r="A255" s="57" t="inlineStr">
        <is>
          <t>Repayments</t>
        </is>
      </c>
      <c r="B255" s="57" t="n">
        <v>21</v>
      </c>
      <c r="C255" s="59" t="inlineStr">
        <is>
          <t>30D Principal Reduction Days</t>
        </is>
      </c>
      <c r="D255" s="59" t="inlineStr">
        <is>
          <t>VC / Decimal</t>
        </is>
      </c>
      <c r="E255" s="57" t="inlineStr">
        <is>
          <t>OLAP only</t>
        </is>
      </c>
      <c r="F255" s="57" t="inlineStr">
        <is>
          <t>-</t>
        </is>
      </c>
      <c r="G255" s="59" t="inlineStr">
        <is>
          <t>Derived date, time-window, age, or delinquency measure.</t>
        </is>
      </c>
      <c r="H255" s="59" t="inlineStr">
        <is>
          <t>IF( OR([Payment Date] &lt; TODAY() - 29, [Payment Date] &gt; TODAY()), 0, [Principal Paid] * ( FLOOR(TOTALHOURS(TODAY() - [Payment Date]) / 24) + 1 ))</t>
        </is>
      </c>
    </row>
    <row r="256" ht="15" customHeight="1">
      <c r="A256" s="57" t="inlineStr">
        <is>
          <t>Repayments</t>
        </is>
      </c>
      <c r="B256" s="57" t="n">
        <v>22</v>
      </c>
      <c r="C256" s="59" t="inlineStr">
        <is>
          <t>Amount Received</t>
        </is>
      </c>
      <c r="D256" s="59" t="inlineStr">
        <is>
          <t>VC / Price</t>
        </is>
      </c>
      <c r="E256" s="57" t="inlineStr">
        <is>
          <t>OLTP + OLAP</t>
        </is>
      </c>
      <c r="F256" s="57" t="inlineStr">
        <is>
          <t>-</t>
        </is>
      </c>
      <c r="G256" s="59" t="inlineStr">
        <is>
          <t>Derived financial aggregate or balance for operational or analytical use.</t>
        </is>
      </c>
      <c r="H256" s="59" t="inlineStr">
        <is>
          <t>[Principal Paid] + [Interest Paid]</t>
        </is>
      </c>
    </row>
    <row r="257" ht="15" customHeight="1">
      <c r="A257" s="57" t="inlineStr">
        <is>
          <t>Settlements</t>
        </is>
      </c>
      <c r="B257" s="57" t="n">
        <v>1</v>
      </c>
      <c r="C257" s="59" t="inlineStr">
        <is>
          <t>_RowNumber</t>
        </is>
      </c>
      <c r="D257" s="59" t="inlineStr">
        <is>
          <t>Physical / Number</t>
        </is>
      </c>
      <c r="E257" s="57" t="inlineStr">
        <is>
          <t>OLAP only</t>
        </is>
      </c>
      <c r="F257" s="57" t="inlineStr">
        <is>
          <t>-</t>
        </is>
      </c>
      <c r="G257" s="59" t="inlineStr">
        <is>
          <t>System-generated source-row ordinal; not a stable business key.</t>
        </is>
      </c>
      <c r="H257" s="59" t="inlineStr">
        <is>
          <t>Stored source column</t>
        </is>
      </c>
    </row>
    <row r="258" ht="15" customHeight="1">
      <c r="A258" s="57" t="inlineStr">
        <is>
          <t>Settlements</t>
        </is>
      </c>
      <c r="B258" s="57" t="n">
        <v>2</v>
      </c>
      <c r="C258" s="59" t="inlineStr">
        <is>
          <t>Row ID</t>
        </is>
      </c>
      <c r="D258" s="59" t="inlineStr">
        <is>
          <t>Physical / Text</t>
        </is>
      </c>
      <c r="E258" s="57" t="inlineStr">
        <is>
          <t>OLAP only</t>
        </is>
      </c>
      <c r="F258" s="57" t="inlineStr">
        <is>
          <t>Key, Required</t>
        </is>
      </c>
      <c r="G258" s="59" t="inlineStr">
        <is>
          <t>Immutable row key generated by the source database.</t>
        </is>
      </c>
      <c r="H258" s="59" t="inlineStr">
        <is>
          <t>Stored source column; initial value: UNIQUEID("PackedUUID")</t>
        </is>
      </c>
    </row>
    <row r="259" ht="15" customHeight="1">
      <c r="A259" s="57" t="inlineStr">
        <is>
          <t>Settlements</t>
        </is>
      </c>
      <c r="B259" s="57" t="n">
        <v>3</v>
      </c>
      <c r="C259" s="59" t="inlineStr">
        <is>
          <t>Settlement Date</t>
        </is>
      </c>
      <c r="D259" s="59" t="inlineStr">
        <is>
          <t>Physical / Date</t>
        </is>
      </c>
      <c r="E259" s="57" t="inlineStr">
        <is>
          <t>OLAP only</t>
        </is>
      </c>
      <c r="F259" s="57" t="inlineStr">
        <is>
          <t>Label</t>
        </is>
      </c>
      <c r="G259" s="59" t="inlineStr">
        <is>
          <t>Stores the source date for Settlement Date.</t>
        </is>
      </c>
      <c r="H259" s="59" t="inlineStr">
        <is>
          <t>Stored source column; initial value: TODAY()</t>
        </is>
      </c>
    </row>
    <row r="260" ht="15" customHeight="1">
      <c r="A260" s="57" t="inlineStr">
        <is>
          <t>Settlements</t>
        </is>
      </c>
      <c r="B260" s="57" t="n">
        <v>4</v>
      </c>
      <c r="C260" s="59" t="inlineStr">
        <is>
          <t>Ref Partner</t>
        </is>
      </c>
      <c r="D260" s="59" t="inlineStr">
        <is>
          <t>Physical / Ref</t>
        </is>
      </c>
      <c r="E260" s="57" t="inlineStr">
        <is>
          <t>OLAP only</t>
        </is>
      </c>
      <c r="F260" s="57" t="inlineStr">
        <is>
          <t>-</t>
        </is>
      </c>
      <c r="G260" s="59" t="inlineStr">
        <is>
          <t>Reference key that links this row to the configured parent table.</t>
        </is>
      </c>
      <c r="H260" s="59" t="inlineStr">
        <is>
          <t>Stored source column</t>
        </is>
      </c>
    </row>
    <row r="261" ht="15" customHeight="1">
      <c r="A261" s="57" t="inlineStr">
        <is>
          <t>Settlements</t>
        </is>
      </c>
      <c r="B261" s="57" t="n">
        <v>5</v>
      </c>
      <c r="C261" s="59" t="inlineStr">
        <is>
          <t>Amount</t>
        </is>
      </c>
      <c r="D261" s="59" t="inlineStr">
        <is>
          <t>Physical / Price</t>
        </is>
      </c>
      <c r="E261" s="57" t="inlineStr">
        <is>
          <t>OLAP only</t>
        </is>
      </c>
      <c r="F261" s="57" t="inlineStr">
        <is>
          <t>-</t>
        </is>
      </c>
      <c r="G261" s="59" t="inlineStr">
        <is>
          <t>Stores the financially material source value for Amount.</t>
        </is>
      </c>
      <c r="H261" s="59" t="inlineStr">
        <is>
          <t>Stored source column</t>
        </is>
      </c>
    </row>
    <row r="262" ht="15" customHeight="1">
      <c r="A262" s="57" t="inlineStr">
        <is>
          <t>Settlements</t>
        </is>
      </c>
      <c r="B262" s="57" t="n">
        <v>6</v>
      </c>
      <c r="C262" s="59" t="inlineStr">
        <is>
          <t>Status</t>
        </is>
      </c>
      <c r="D262" s="59" t="inlineStr">
        <is>
          <t>Physical / Enum</t>
        </is>
      </c>
      <c r="E262" s="57" t="inlineStr">
        <is>
          <t>OLAP only</t>
        </is>
      </c>
      <c r="F262" s="57" t="inlineStr">
        <is>
          <t>-</t>
        </is>
      </c>
      <c r="G262" s="59" t="inlineStr">
        <is>
          <t>Stores the controlled workflow state for Status.</t>
        </is>
      </c>
      <c r="H262" s="59" t="inlineStr">
        <is>
          <t>Stored source column; initial value: "Pending"</t>
        </is>
      </c>
    </row>
    <row r="263" ht="15" customHeight="1">
      <c r="A263" s="57" t="inlineStr">
        <is>
          <t>Settlements</t>
        </is>
      </c>
      <c r="B263" s="57" t="n">
        <v>7</v>
      </c>
      <c r="C263" s="59" t="inlineStr">
        <is>
          <t>Transfer Date</t>
        </is>
      </c>
      <c r="D263" s="59" t="inlineStr">
        <is>
          <t>Physical / Date</t>
        </is>
      </c>
      <c r="E263" s="57" t="inlineStr">
        <is>
          <t>OLAP only</t>
        </is>
      </c>
      <c r="F263" s="57" t="inlineStr">
        <is>
          <t>-</t>
        </is>
      </c>
      <c r="G263" s="59" t="inlineStr">
        <is>
          <t>Stores the source date for Transfer Date.</t>
        </is>
      </c>
      <c r="H263" s="59" t="inlineStr">
        <is>
          <t>Stored source column</t>
        </is>
      </c>
    </row>
    <row r="264" ht="15" customHeight="1">
      <c r="A264" s="57" t="inlineStr">
        <is>
          <t>Settlements</t>
        </is>
      </c>
      <c r="B264" s="57" t="n">
        <v>8</v>
      </c>
      <c r="C264" s="59" t="inlineStr">
        <is>
          <t>Notes</t>
        </is>
      </c>
      <c r="D264" s="59" t="inlineStr">
        <is>
          <t>Physical / LongText</t>
        </is>
      </c>
      <c r="E264" s="57" t="inlineStr">
        <is>
          <t>OLAP only</t>
        </is>
      </c>
      <c r="F264" s="57" t="inlineStr">
        <is>
          <t>-</t>
        </is>
      </c>
      <c r="G264" s="59" t="inlineStr">
        <is>
          <t>Stores the authoritative source value for Notes.</t>
        </is>
      </c>
      <c r="H264" s="59" t="inlineStr">
        <is>
          <t>Stored source column</t>
        </is>
      </c>
    </row>
    <row r="265" ht="15" customHeight="1">
      <c r="A265" s="57" t="inlineStr">
        <is>
          <t>Statistics</t>
        </is>
      </c>
      <c r="B265" s="57" t="n">
        <v>1</v>
      </c>
      <c r="C265" s="59" t="inlineStr">
        <is>
          <t>_RowNumber</t>
        </is>
      </c>
      <c r="D265" s="59" t="inlineStr">
        <is>
          <t>Physical / Number</t>
        </is>
      </c>
      <c r="E265" s="57" t="inlineStr">
        <is>
          <t>OLTP + OLAP</t>
        </is>
      </c>
      <c r="F265" s="57" t="inlineStr">
        <is>
          <t>-</t>
        </is>
      </c>
      <c r="G265" s="59" t="inlineStr">
        <is>
          <t>System-generated source-row ordinal; not a stable business key.</t>
        </is>
      </c>
      <c r="H265" s="59" t="inlineStr">
        <is>
          <t>Stored source column</t>
        </is>
      </c>
    </row>
    <row r="266" ht="15" customHeight="1">
      <c r="A266" s="57" t="inlineStr">
        <is>
          <t>Statistics</t>
        </is>
      </c>
      <c r="B266" s="57" t="n">
        <v>2</v>
      </c>
      <c r="C266" s="59" t="inlineStr">
        <is>
          <t>Row ID</t>
        </is>
      </c>
      <c r="D266" s="59" t="inlineStr">
        <is>
          <t>Physical / Text</t>
        </is>
      </c>
      <c r="E266" s="57" t="inlineStr">
        <is>
          <t>OLTP + OLAP</t>
        </is>
      </c>
      <c r="F266" s="57" t="inlineStr">
        <is>
          <t>Key, Required</t>
        </is>
      </c>
      <c r="G266" s="59" t="inlineStr">
        <is>
          <t>Immutable row key generated by the source database.</t>
        </is>
      </c>
      <c r="H266" s="59" t="inlineStr">
        <is>
          <t>Stored source column; initial value: UNIQUEID("PackedUUID")</t>
        </is>
      </c>
    </row>
    <row r="267" ht="15" customHeight="1">
      <c r="A267" s="57" t="inlineStr">
        <is>
          <t>Statistics</t>
        </is>
      </c>
      <c r="B267" s="57" t="n">
        <v>3</v>
      </c>
      <c r="C267" s="59" t="inlineStr">
        <is>
          <t>Statistics ID</t>
        </is>
      </c>
      <c r="D267" s="59" t="inlineStr">
        <is>
          <t>Physical / Text</t>
        </is>
      </c>
      <c r="E267" s="57" t="inlineStr">
        <is>
          <t>OLTP + OLAP</t>
        </is>
      </c>
      <c r="F267" s="57" t="inlineStr">
        <is>
          <t>Label</t>
        </is>
      </c>
      <c r="G267" s="59" t="inlineStr">
        <is>
          <t>Stores the authoritative source value for Statistics ID.</t>
        </is>
      </c>
      <c r="H267" s="59" t="inlineStr">
        <is>
          <t>Stored source column</t>
        </is>
      </c>
    </row>
    <row r="268" ht="15" customHeight="1">
      <c r="A268" s="57" t="inlineStr">
        <is>
          <t>Statistics</t>
        </is>
      </c>
      <c r="B268" s="57" t="n">
        <v>4</v>
      </c>
      <c r="C268" s="59" t="inlineStr">
        <is>
          <t>Total Profit</t>
        </is>
      </c>
      <c r="D268" s="59" t="inlineStr">
        <is>
          <t>VC / Price</t>
        </is>
      </c>
      <c r="E268" s="57" t="inlineStr">
        <is>
          <t>OLTP + OLAP</t>
        </is>
      </c>
      <c r="F268" s="57" t="inlineStr">
        <is>
          <t>-</t>
        </is>
      </c>
      <c r="G268" s="59" t="inlineStr">
        <is>
          <t>Derived financial aggregate or balance for operational or analytical use.</t>
        </is>
      </c>
      <c r="H268" s="59" t="inlineStr">
        <is>
          <t>SUM(Repayments[Interest Paid])</t>
        </is>
      </c>
    </row>
    <row r="269" ht="15" customHeight="1">
      <c r="A269" s="57" t="inlineStr">
        <is>
          <t>Statistics</t>
        </is>
      </c>
      <c r="B269" s="57" t="n">
        <v>5</v>
      </c>
      <c r="C269" s="59" t="inlineStr">
        <is>
          <t>Outstanding Principal</t>
        </is>
      </c>
      <c r="D269" s="59" t="inlineStr">
        <is>
          <t>VC / Price</t>
        </is>
      </c>
      <c r="E269" s="57" t="inlineStr">
        <is>
          <t>OLTP + OLAP</t>
        </is>
      </c>
      <c r="F269" s="57" t="inlineStr">
        <is>
          <t>-</t>
        </is>
      </c>
      <c r="G269" s="59" t="inlineStr">
        <is>
          <t>Derived financial aggregate or balance for operational or analytical use.</t>
        </is>
      </c>
      <c r="H269" s="59" t="inlineStr">
        <is>
          <t>SUM(Loans[Outstanding Principal])</t>
        </is>
      </c>
    </row>
    <row r="270" ht="21.60000038146973" customHeight="1">
      <c r="A270" s="57" t="inlineStr">
        <is>
          <t>Statistics</t>
        </is>
      </c>
      <c r="B270" s="57" t="n">
        <v>6</v>
      </c>
      <c r="C270" s="59" t="inlineStr">
        <is>
          <t>Active Loans</t>
        </is>
      </c>
      <c r="D270" s="59" t="inlineStr">
        <is>
          <t>VC / Number</t>
        </is>
      </c>
      <c r="E270" s="57" t="inlineStr">
        <is>
          <t>OLAP only</t>
        </is>
      </c>
      <c r="F270" s="57" t="inlineStr">
        <is>
          <t>-</t>
        </is>
      </c>
      <c r="G270" s="59" t="inlineStr">
        <is>
          <t>Derived count used for workload, portfolio, or risk analysis.</t>
        </is>
      </c>
      <c r="H270" s="59" t="inlineStr">
        <is>
          <t>COUNT( SELECT( Loans[Row ID], [Loan Status] = "ยังไม่ปิดยอด" ))</t>
        </is>
      </c>
    </row>
    <row r="271" ht="21.60000038146973" customHeight="1">
      <c r="A271" s="57" t="inlineStr">
        <is>
          <t>Statistics</t>
        </is>
      </c>
      <c r="B271" s="57" t="n">
        <v>7</v>
      </c>
      <c r="C271" s="59" t="inlineStr">
        <is>
          <t>Today's Profit</t>
        </is>
      </c>
      <c r="D271" s="59" t="inlineStr">
        <is>
          <t>VC / Price</t>
        </is>
      </c>
      <c r="E271" s="57" t="inlineStr">
        <is>
          <t>OLTP + OLAP</t>
        </is>
      </c>
      <c r="F271" s="57" t="inlineStr">
        <is>
          <t>-</t>
        </is>
      </c>
      <c r="G271" s="59" t="inlineStr">
        <is>
          <t>Derived financial aggregate or balance for operational or analytical use.</t>
        </is>
      </c>
      <c r="H271" s="59" t="inlineStr">
        <is>
          <t>SUM( SELECT( Repayments[Interest Paid], [Payment Date] = TODAY() ))</t>
        </is>
      </c>
    </row>
    <row r="272" ht="15" customHeight="1">
      <c r="A272" s="57" t="inlineStr">
        <is>
          <t>Statistics</t>
        </is>
      </c>
      <c r="B272" s="57" t="n">
        <v>8</v>
      </c>
      <c r="C272" s="59" t="inlineStr">
        <is>
          <t>Yesterday's Profit</t>
        </is>
      </c>
      <c r="D272" s="59" t="inlineStr">
        <is>
          <t>VC / Price</t>
        </is>
      </c>
      <c r="E272" s="57" t="inlineStr">
        <is>
          <t>OLTP + OLAP</t>
        </is>
      </c>
      <c r="F272" s="57" t="inlineStr">
        <is>
          <t>-</t>
        </is>
      </c>
      <c r="G272" s="59" t="inlineStr">
        <is>
          <t>Derived financial aggregate or balance for operational or analytical use.</t>
        </is>
      </c>
      <c r="H272" s="59" t="inlineStr">
        <is>
          <t>SUM( SELECT( Repayments[Interest Paid], [Payment Date] = TODAY() - 1 ))</t>
        </is>
      </c>
    </row>
    <row r="273" ht="21.60000038146973" customHeight="1">
      <c r="A273" s="57" t="inlineStr">
        <is>
          <t>Statistics</t>
        </is>
      </c>
      <c r="B273" s="57" t="n">
        <v>9</v>
      </c>
      <c r="C273" s="59" t="inlineStr">
        <is>
          <t>Realized Profit MTD</t>
        </is>
      </c>
      <c r="D273" s="59" t="inlineStr">
        <is>
          <t>VC / Price</t>
        </is>
      </c>
      <c r="E273" s="57" t="inlineStr">
        <is>
          <t>OLTP + OLAP</t>
        </is>
      </c>
      <c r="F273" s="57" t="inlineStr">
        <is>
          <t>-</t>
        </is>
      </c>
      <c r="G273" s="59" t="inlineStr">
        <is>
          <t>Derived financial aggregate or balance for operational or analytical use.</t>
        </is>
      </c>
      <c r="H273" s="59" t="inlineStr">
        <is>
          <t>SUM( SELECT( Repayments[Interest Paid], AND( MONTH([Payment Date]) = MONTH(TODAY()), YEAR([Payment Date]) = YEAR(TODAY()) ) ))</t>
        </is>
      </c>
    </row>
    <row r="274" ht="21.60000038146973" customHeight="1">
      <c r="A274" s="57" t="inlineStr">
        <is>
          <t>Statistics</t>
        </is>
      </c>
      <c r="B274" s="57" t="n">
        <v>10</v>
      </c>
      <c r="C274" s="59" t="inlineStr">
        <is>
          <t>Projected Monthly Profit</t>
        </is>
      </c>
      <c r="D274" s="59" t="inlineStr">
        <is>
          <t>VC / Price</t>
        </is>
      </c>
      <c r="E274" s="57" t="inlineStr">
        <is>
          <t>OLTP + OLAP</t>
        </is>
      </c>
      <c r="F274" s="57" t="inlineStr">
        <is>
          <t>-</t>
        </is>
      </c>
      <c r="G274" s="59" t="inlineStr">
        <is>
          <t>Forecast aggregate combining realized MTD interest, remaining interest on all open Charges, and forecast remaining interest; interpret using the monthly forecast assumptions below.</t>
        </is>
      </c>
      <c r="H274" s="59" t="inlineStr">
        <is>
          <t>[Realized Profit MTD]+[Today's Outstanding Interest]+[Forecast Remaining Interest]</t>
        </is>
      </c>
    </row>
    <row r="275" ht="15" customHeight="1">
      <c r="A275" s="57" t="inlineStr">
        <is>
          <t>Statistics</t>
        </is>
      </c>
      <c r="B275" s="57" t="n">
        <v>11</v>
      </c>
      <c r="C275" s="59" t="inlineStr">
        <is>
          <t>Pending Payment Amount</t>
        </is>
      </c>
      <c r="D275" s="59" t="inlineStr">
        <is>
          <t>VC / Price</t>
        </is>
      </c>
      <c r="E275" s="57" t="inlineStr">
        <is>
          <t>OLTP + OLAP</t>
        </is>
      </c>
      <c r="F275" s="57" t="inlineStr">
        <is>
          <t>-</t>
        </is>
      </c>
      <c r="G275" s="59" t="inlineStr">
        <is>
          <t>Derived financial aggregate or balance for operational or analytical use.</t>
        </is>
      </c>
      <c r="H275" s="59" t="inlineStr">
        <is>
          <t>SUM(Charges[Amount Remaining])</t>
        </is>
      </c>
    </row>
    <row r="276" ht="15" customHeight="1">
      <c r="A276" s="57" t="inlineStr">
        <is>
          <t>Statistics</t>
        </is>
      </c>
      <c r="B276" s="57" t="n">
        <v>12</v>
      </c>
      <c r="C276" s="59" t="inlineStr">
        <is>
          <t>Forecast Remaining Interest</t>
        </is>
      </c>
      <c r="D276" s="59" t="inlineStr">
        <is>
          <t>VC / Price</t>
        </is>
      </c>
      <c r="E276" s="57" t="inlineStr">
        <is>
          <t>OLTP + OLAP</t>
        </is>
      </c>
      <c r="F276" s="57" t="inlineStr">
        <is>
          <t>-</t>
        </is>
      </c>
      <c r="G276" s="59" t="inlineStr">
        <is>
          <t>Sum of loan-level expected interest; daily loans include accrued but uncharged interest plus interest for days after today through month-end.</t>
        </is>
      </c>
      <c r="H276" s="59" t="inlineStr">
        <is>
          <t>SUM(Loans[Expected Interest This Month])</t>
        </is>
      </c>
    </row>
    <row r="277" ht="15" customHeight="1">
      <c r="A277" s="57" t="inlineStr">
        <is>
          <t>Statistics</t>
        </is>
      </c>
      <c r="B277" s="57" t="n">
        <v>13</v>
      </c>
      <c r="C277" s="59" t="inlineStr">
        <is>
          <t>Today's Outstanding Interest</t>
        </is>
      </c>
      <c r="D277" s="59" t="inlineStr">
        <is>
          <t>VC / Price</t>
        </is>
      </c>
      <c r="E277" s="57" t="inlineStr">
        <is>
          <t>OLTP + OLAP</t>
        </is>
      </c>
      <c r="F277" s="57" t="inlineStr">
        <is>
          <t>-</t>
        </is>
      </c>
      <c r="G277" s="59" t="inlineStr">
        <is>
          <t>Remaining interest across all open Charges without a Charge Date filter; may include prior-period arrears.</t>
        </is>
      </c>
      <c r="H277" s="59" t="inlineStr">
        <is>
          <t>SUM(Charges[Interest Remaining])</t>
        </is>
      </c>
    </row>
    <row r="278" ht="21.60000038146973" customHeight="1">
      <c r="A278" s="57" t="inlineStr">
        <is>
          <t>Statistics</t>
        </is>
      </c>
      <c r="B278" s="57" t="n">
        <v>14</v>
      </c>
      <c r="C278" s="59" t="inlineStr">
        <is>
          <t>Net Principal Days MTD</t>
        </is>
      </c>
      <c r="D278" s="59" t="inlineStr">
        <is>
          <t>VC / Number</t>
        </is>
      </c>
      <c r="E278" s="57" t="inlineStr">
        <is>
          <t>OLTP + OLAP</t>
        </is>
      </c>
      <c r="F278" s="57" t="inlineStr">
        <is>
          <t>Show: FALSE</t>
        </is>
      </c>
      <c r="G278" s="59" t="inlineStr">
        <is>
          <t>Derived date, time-window, age, or delinquency measure.</t>
        </is>
      </c>
      <c r="H278" s="59" t="inlineStr">
        <is>
          <t>SUM(Loans[Principal Days MTD]) - SUM(Repayments[Principal Returned Days MTD])</t>
        </is>
      </c>
    </row>
    <row r="279" ht="15" customHeight="1">
      <c r="A279" s="57" t="inlineStr">
        <is>
          <t>Statistics</t>
        </is>
      </c>
      <c r="B279" s="57" t="n">
        <v>15</v>
      </c>
      <c r="C279" s="59" t="inlineStr">
        <is>
          <t>Forecast Remaining Principal Days</t>
        </is>
      </c>
      <c r="D279" s="59" t="inlineStr">
        <is>
          <t>VC / Number</t>
        </is>
      </c>
      <c r="E279" s="57" t="inlineStr">
        <is>
          <t>OLTP + OLAP</t>
        </is>
      </c>
      <c r="F279" s="57" t="inlineStr">
        <is>
          <t>Show: FALSE</t>
        </is>
      </c>
      <c r="G279" s="59" t="inlineStr">
        <is>
          <t>Derived date, time-window, age, or delinquency measure.</t>
        </is>
      </c>
      <c r="H279" s="59" t="inlineStr">
        <is>
          <t>[Outstanding Principal] * ( DAY(EOMONTH(TODAY(), 0)) - DAY(TODAY()) )</t>
        </is>
      </c>
    </row>
    <row r="280" ht="15" customHeight="1">
      <c r="A280" s="57" t="inlineStr">
        <is>
          <t>Statistics</t>
        </is>
      </c>
      <c r="B280" s="57" t="n">
        <v>16</v>
      </c>
      <c r="C280" s="59" t="inlineStr">
        <is>
          <t>Forecast Average Daily Outstanding Principal</t>
        </is>
      </c>
      <c r="D280" s="59" t="inlineStr">
        <is>
          <t>VC / Price</t>
        </is>
      </c>
      <c r="E280" s="57" t="inlineStr">
        <is>
          <t>OLTP + OLAP</t>
        </is>
      </c>
      <c r="F280" s="57" t="inlineStr">
        <is>
          <t>Show: FALSE</t>
        </is>
      </c>
      <c r="G280" s="59" t="inlineStr">
        <is>
          <t>Derived date, time-window, age, or delinquency measure.</t>
        </is>
      </c>
      <c r="H280" s="59" t="inlineStr">
        <is>
          <t>( [Net Principal Days MTD] + [Forecast Remaining Principal Days] )/ DAY(EOMONTH(TODAY(), 0))</t>
        </is>
      </c>
    </row>
    <row r="281" ht="15" customHeight="1">
      <c r="A281" s="57" t="inlineStr">
        <is>
          <t>Statistics</t>
        </is>
      </c>
      <c r="B281" s="57" t="n">
        <v>17</v>
      </c>
      <c r="C281" s="59" t="inlineStr">
        <is>
          <t>Forecast Monthly Return on ADO</t>
        </is>
      </c>
      <c r="D281" s="59" t="inlineStr">
        <is>
          <t>VC / Percent</t>
        </is>
      </c>
      <c r="E281" s="57" t="inlineStr">
        <is>
          <t>OLTP + OLAP</t>
        </is>
      </c>
      <c r="F281" s="57" t="inlineStr">
        <is>
          <t>-</t>
        </is>
      </c>
      <c r="G281" s="59" t="inlineStr">
        <is>
          <t>Derived ratio or performance measure calculated from governed source values.</t>
        </is>
      </c>
      <c r="H281" s="59" t="inlineStr">
        <is>
          <t>IF( [Forecast Average Daily Outstanding Principal] &gt; 0, [Projected Monthly Profit] / [Forecast Average Daily Outstanding Principal], 0)</t>
        </is>
      </c>
    </row>
    <row r="282" ht="15" customHeight="1">
      <c r="A282" s="57" t="inlineStr">
        <is>
          <t>Statistics</t>
        </is>
      </c>
      <c r="B282" s="57" t="n">
        <v>18</v>
      </c>
      <c r="C282" s="59" t="inlineStr">
        <is>
          <t>Peak Cash Pool 30D</t>
        </is>
      </c>
      <c r="D282" s="59" t="inlineStr">
        <is>
          <t>VC / Price</t>
        </is>
      </c>
      <c r="E282" s="57" t="inlineStr">
        <is>
          <t>OLAP only</t>
        </is>
      </c>
      <c r="F282" s="57" t="inlineStr">
        <is>
          <t>-</t>
        </is>
      </c>
      <c r="G282" s="59" t="inlineStr">
        <is>
          <t>Derived financial aggregate or balance for operational or analytical use.</t>
        </is>
      </c>
      <c r="H282" s="59" t="inlineStr">
        <is>
          <t>IF( COUNT(Daily Analytics 30 Days[Row ID]) &gt; 0, MAX(Daily Analytics 30 Days[Outstanding Principal EOD]), 0)</t>
        </is>
      </c>
    </row>
    <row r="283" ht="15" customHeight="1">
      <c r="A283" s="57" t="inlineStr">
        <is>
          <t>Statistics</t>
        </is>
      </c>
      <c r="B283" s="57" t="n">
        <v>19</v>
      </c>
      <c r="C283" s="59" t="inlineStr">
        <is>
          <t>Peak Cash Pool Date 30D</t>
        </is>
      </c>
      <c r="D283" s="59" t="inlineStr">
        <is>
          <t>VC / Date</t>
        </is>
      </c>
      <c r="E283" s="57" t="inlineStr">
        <is>
          <t>OLAP only</t>
        </is>
      </c>
      <c r="F283" s="57" t="inlineStr">
        <is>
          <t>-</t>
        </is>
      </c>
      <c r="G283" s="59" t="inlineStr">
        <is>
          <t>Derived date, time-window, age, or delinquency measure.</t>
        </is>
      </c>
      <c r="H283" s="59" t="inlineStr">
        <is>
          <t>MAX( SELECT( Daily Analytics 30 Days[Snapshot Date], [Outstanding Principal EOD] = [_THISROW].[Peak Cash Pool 30D] ))</t>
        </is>
      </c>
    </row>
    <row r="284" ht="15" customHeight="1">
      <c r="A284" s="57" t="inlineStr">
        <is>
          <t>Statistics</t>
        </is>
      </c>
      <c r="B284" s="57" t="n">
        <v>20</v>
      </c>
      <c r="C284" s="59" t="inlineStr">
        <is>
          <t>Expected Daily Interest</t>
        </is>
      </c>
      <c r="D284" s="59" t="inlineStr">
        <is>
          <t>VC / Price</t>
        </is>
      </c>
      <c r="E284" s="57" t="inlineStr">
        <is>
          <t>OLTP + OLAP</t>
        </is>
      </c>
      <c r="F284" s="57" t="inlineStr">
        <is>
          <t>App formula variance</t>
        </is>
      </c>
      <c r="G284" s="59" t="inlineStr">
        <is>
          <t>Derived financial aggregate or balance for operational or analytical use.</t>
        </is>
      </c>
      <c r="H284" s="59" t="inlineStr">
        <is>
          <t>OLTP: SUM(Loans[Expected Daily Interest Amount])
OLAP: SUM( SELECT( Loans[Current Daily Interest], AND([Loan Status] = "ยังไม่ปิดยอด", [Loan Type] = "ดอกเบี้ยรายวัน") ))</t>
        </is>
      </c>
    </row>
    <row r="285" ht="15" customHeight="1">
      <c r="A285" s="57" t="inlineStr">
        <is>
          <t>Statistics</t>
        </is>
      </c>
      <c r="B285" s="57" t="n">
        <v>21</v>
      </c>
      <c r="C285" s="59" t="inlineStr">
        <is>
          <t>Total Profit of Outstanding Loans</t>
        </is>
      </c>
      <c r="D285" s="59" t="inlineStr">
        <is>
          <t>VC / Price</t>
        </is>
      </c>
      <c r="E285" s="57" t="inlineStr">
        <is>
          <t>OLTP + OLAP</t>
        </is>
      </c>
      <c r="F285" s="57" t="inlineStr">
        <is>
          <t>-</t>
        </is>
      </c>
      <c r="G285" s="59" t="inlineStr">
        <is>
          <t>Derived financial aggregate or balance for operational or analytical use.</t>
        </is>
      </c>
      <c r="H285" s="59" t="inlineStr">
        <is>
          <t>SUM(SELECT(Loans[Total Interest Received], [Loan Status] = "ยังไม่ปิดยอด"))</t>
        </is>
      </c>
    </row>
    <row r="286" ht="15" customHeight="1">
      <c r="A286" s="57" t="inlineStr">
        <is>
          <t>Statistics</t>
        </is>
      </c>
      <c r="B286" s="57" t="n">
        <v>22</v>
      </c>
      <c r="C286" s="59" t="inlineStr">
        <is>
          <t>Profit Coverage of Outstanding Principal</t>
        </is>
      </c>
      <c r="D286" s="59" t="inlineStr">
        <is>
          <t>VC / Percent</t>
        </is>
      </c>
      <c r="E286" s="57" t="inlineStr">
        <is>
          <t>OLTP + OLAP</t>
        </is>
      </c>
      <c r="F286" s="57" t="inlineStr">
        <is>
          <t>-</t>
        </is>
      </c>
      <c r="G286" s="59" t="inlineStr">
        <is>
          <t>Derived ratio or performance measure calculated from governed source values.</t>
        </is>
      </c>
      <c r="H286" s="59" t="inlineStr">
        <is>
          <t>IF([Outstanding Principal] &gt; 0, [Total Profit of Outstanding Loans] / [Outstanding Principal], 0)</t>
        </is>
      </c>
    </row>
    <row r="287" ht="15" customHeight="1">
      <c r="A287" s="57" t="inlineStr">
        <is>
          <t>Statistics</t>
        </is>
      </c>
      <c r="B287" s="57" t="n">
        <v>23</v>
      </c>
      <c r="C287" s="59" t="inlineStr">
        <is>
          <t>Header - Outstanding Loans</t>
        </is>
      </c>
      <c r="D287" s="59" t="inlineStr">
        <is>
          <t>VC / Text</t>
        </is>
      </c>
      <c r="E287" s="57" t="inlineStr">
        <is>
          <t>OLTP + OLAP</t>
        </is>
      </c>
      <c r="F287" s="57" t="inlineStr">
        <is>
          <t>-</t>
        </is>
      </c>
      <c r="G287" s="59" t="inlineStr">
        <is>
          <t>Presentation-oriented label or bilingual display value.</t>
        </is>
      </c>
      <c r="H287" s="59" t="inlineStr">
        <is>
          <t>"──── สินเชื่อคงค้าง / Outstanding Loans ────"</t>
        </is>
      </c>
    </row>
    <row r="288" ht="15" customHeight="1">
      <c r="A288" s="57" t="inlineStr">
        <is>
          <t>Statistics</t>
        </is>
      </c>
      <c r="B288" s="57" t="n">
        <v>24</v>
      </c>
      <c r="C288" s="59" t="inlineStr">
        <is>
          <t>Header - Monthly Forecast</t>
        </is>
      </c>
      <c r="D288" s="59" t="inlineStr">
        <is>
          <t>VC / Text</t>
        </is>
      </c>
      <c r="E288" s="57" t="inlineStr">
        <is>
          <t>OLTP + OLAP</t>
        </is>
      </c>
      <c r="F288" s="57" t="inlineStr">
        <is>
          <t>-</t>
        </is>
      </c>
      <c r="G288" s="59" t="inlineStr">
        <is>
          <t>Presentation-oriented label or bilingual display value.</t>
        </is>
      </c>
      <c r="H288" s="59" t="inlineStr">
        <is>
          <t>"──── พยากรณ์ / Forecast ────"</t>
        </is>
      </c>
    </row>
    <row r="289" ht="15" customHeight="1">
      <c r="A289" s="57" t="inlineStr">
        <is>
          <t>Statistics</t>
        </is>
      </c>
      <c r="B289" s="57" t="n">
        <v>25</v>
      </c>
      <c r="C289" s="59" t="inlineStr">
        <is>
          <t>Total Cash Pool</t>
        </is>
      </c>
      <c r="D289" s="59" t="inlineStr">
        <is>
          <t>VC / Price</t>
        </is>
      </c>
      <c r="E289" s="57" t="inlineStr">
        <is>
          <t>OLAP only</t>
        </is>
      </c>
      <c r="F289" s="57" t="inlineStr">
        <is>
          <t>-</t>
        </is>
      </c>
      <c r="G289" s="59" t="inlineStr">
        <is>
          <t>Derived financial aggregate or balance for operational or analytical use.</t>
        </is>
      </c>
      <c r="H289" s="59" t="inlineStr">
        <is>
          <t>SUM(Cash Pool Contributions[Net Contribution])</t>
        </is>
      </c>
    </row>
    <row r="290" ht="15" customHeight="1">
      <c r="A290" s="57" t="inlineStr">
        <is>
          <t>Statistics</t>
        </is>
      </c>
      <c r="B290" s="57" t="n">
        <v>26</v>
      </c>
      <c r="C290" s="59" t="inlineStr">
        <is>
          <t>Total Unsettled Profit</t>
        </is>
      </c>
      <c r="D290" s="59" t="inlineStr">
        <is>
          <t>VC / Price</t>
        </is>
      </c>
      <c r="E290" s="57" t="inlineStr">
        <is>
          <t>OLAP only</t>
        </is>
      </c>
      <c r="F290" s="57" t="inlineStr">
        <is>
          <t>-</t>
        </is>
      </c>
      <c r="G290" s="59" t="inlineStr">
        <is>
          <t>Derived financial aggregate or balance for operational or analytical use.</t>
        </is>
      </c>
      <c r="H290" s="59" t="inlineStr">
        <is>
          <t>SUM(Partners[Total Profit Earned]) - SUM(Partners[Completed Settlement])</t>
        </is>
      </c>
    </row>
    <row r="291" ht="21.60000038146973" customHeight="1">
      <c r="A291" s="57" t="inlineStr">
        <is>
          <t>Statistics</t>
        </is>
      </c>
      <c r="B291" s="57" t="n">
        <v>27</v>
      </c>
      <c r="C291" s="59" t="inlineStr">
        <is>
          <t>Expected Loan Account Balance</t>
        </is>
      </c>
      <c r="D291" s="59" t="inlineStr">
        <is>
          <t>VC / Price</t>
        </is>
      </c>
      <c r="E291" s="57" t="inlineStr">
        <is>
          <t>OLAP only</t>
        </is>
      </c>
      <c r="F291" s="57" t="inlineStr">
        <is>
          <t>-</t>
        </is>
      </c>
      <c r="G291" s="59" t="inlineStr">
        <is>
          <t>Derived count used for workload, portfolio, or risk analysis.</t>
        </is>
      </c>
      <c r="H291" s="59" t="inlineStr">
        <is>
          <t>[Total Cash Pool]-[Outstanding Principal]+[Total Unsettled Profit]</t>
        </is>
      </c>
    </row>
    <row r="292" ht="15" customHeight="1">
      <c r="A292" s="57" t="inlineStr">
        <is>
          <t>Statistics</t>
        </is>
      </c>
      <c r="B292" s="57" t="n">
        <v>28</v>
      </c>
      <c r="C292" s="59" t="inlineStr">
        <is>
          <t>Header - Cash Pool</t>
        </is>
      </c>
      <c r="D292" s="59" t="inlineStr">
        <is>
          <t>VC / Text</t>
        </is>
      </c>
      <c r="E292" s="57" t="inlineStr">
        <is>
          <t>OLAP only</t>
        </is>
      </c>
      <c r="F292" s="57" t="inlineStr">
        <is>
          <t>-</t>
        </is>
      </c>
      <c r="G292" s="59" t="inlineStr">
        <is>
          <t>Presentation-oriented label or bilingual display value.</t>
        </is>
      </c>
      <c r="H292" s="59" t="inlineStr">
        <is>
          <t>"──── เงินกองกลาง / Cash Pool ────"</t>
        </is>
      </c>
    </row>
    <row r="293" ht="15" customHeight="1">
      <c r="A293" s="57" t="inlineStr">
        <is>
          <t>Statistics</t>
        </is>
      </c>
      <c r="B293" s="57" t="n">
        <v>29</v>
      </c>
      <c r="C293" s="59" t="inlineStr">
        <is>
          <t>Total Outstanding Principal</t>
        </is>
      </c>
      <c r="D293" s="59" t="inlineStr">
        <is>
          <t>VC / Price</t>
        </is>
      </c>
      <c r="E293" s="57" t="inlineStr">
        <is>
          <t>OLAP only</t>
        </is>
      </c>
      <c r="F293" s="57" t="inlineStr">
        <is>
          <t>-</t>
        </is>
      </c>
      <c r="G293" s="59" t="inlineStr">
        <is>
          <t>Derived financial aggregate or balance for operational or analytical use.</t>
        </is>
      </c>
      <c r="H293" s="59" t="inlineStr">
        <is>
          <t>[Outstanding Principal]</t>
        </is>
      </c>
    </row>
    <row r="294" ht="15" customHeight="1">
      <c r="A294" s="57" t="inlineStr">
        <is>
          <t>Statistics</t>
        </is>
      </c>
      <c r="B294" s="57" t="n">
        <v>30</v>
      </c>
      <c r="C294" s="59" t="inlineStr">
        <is>
          <t>Top 3 Borrower Concentration</t>
        </is>
      </c>
      <c r="D294" s="59" t="inlineStr">
        <is>
          <t>VC / Percent</t>
        </is>
      </c>
      <c r="E294" s="57" t="inlineStr">
        <is>
          <t>OLAP only</t>
        </is>
      </c>
      <c r="F294" s="57" t="inlineStr">
        <is>
          <t>-</t>
        </is>
      </c>
      <c r="G294" s="59" t="inlineStr">
        <is>
          <t>Derived AppSheet value used by the app workflow, presentation, or reporting model.</t>
        </is>
      </c>
      <c r="H294" s="59" t="inlineStr">
        <is>
          <t>IF( [Total Outstanding Principal] = 0, 0, SUM( TOP( SORT( SELECT( Borrowers[Total Outstanding Principal], [Total Outstanding Principal] &gt; 0 ), TRUE ), 3 ) ) / [Total Outstanding Principal])</t>
        </is>
      </c>
    </row>
    <row r="295" ht="15" customHeight="1">
      <c r="A295" s="57" t="inlineStr">
        <is>
          <t>Statistics</t>
        </is>
      </c>
      <c r="B295" s="57" t="n">
        <v>31</v>
      </c>
      <c r="C295" s="59" t="inlineStr">
        <is>
          <t>Borrowers Fully Paid Today</t>
        </is>
      </c>
      <c r="D295" s="59" t="inlineStr">
        <is>
          <t>VC / Number</t>
        </is>
      </c>
      <c r="E295" s="57" t="inlineStr">
        <is>
          <t>OLTP + OLAP</t>
        </is>
      </c>
      <c r="F295" s="57" t="inlineStr">
        <is>
          <t>Show_If: COUNT( SELECT( Borrowers[Row ID], [Daily Collection Status] = "Fully Paid" )) &gt; 0; Searchable</t>
        </is>
      </c>
      <c r="G295" s="59" t="inlineStr">
        <is>
          <t>Derived AppSheet value used by the app workflow, presentation, or reporting model.</t>
        </is>
      </c>
      <c r="H295" s="59" t="inlineStr">
        <is>
          <t>COUNT( SELECT( Borrowers[Row ID], [Daily Collection Status] = "Fully Paid" ))</t>
        </is>
      </c>
    </row>
    <row r="296" ht="15" customHeight="1">
      <c r="A296" s="57" t="inlineStr">
        <is>
          <t>Statistics</t>
        </is>
      </c>
      <c r="B296" s="57" t="n">
        <v>32</v>
      </c>
      <c r="C296" s="59" t="inlineStr">
        <is>
          <t>Borrowers Partially Paid Today</t>
        </is>
      </c>
      <c r="D296" s="59" t="inlineStr">
        <is>
          <t>VC / Number</t>
        </is>
      </c>
      <c r="E296" s="57" t="inlineStr">
        <is>
          <t>OLTP + OLAP</t>
        </is>
      </c>
      <c r="F296" s="57" t="inlineStr">
        <is>
          <t>Show_If: COUNT( SELECT( Borrowers[Row ID], [Daily Collection Status] = "Partially Paid" )) &gt; 0; Searchable</t>
        </is>
      </c>
      <c r="G296" s="59" t="inlineStr">
        <is>
          <t>Derived AppSheet value used by the app workflow, presentation, or reporting model.</t>
        </is>
      </c>
      <c r="H296" s="59" t="inlineStr">
        <is>
          <t>COUNT( SELECT( Borrowers[Row ID], [Daily Collection Status] = "Partially Paid" ))</t>
        </is>
      </c>
    </row>
    <row r="297" ht="15" customHeight="1">
      <c r="A297" s="57" t="inlineStr">
        <is>
          <t>Statistics</t>
        </is>
      </c>
      <c r="B297" s="57" t="n">
        <v>33</v>
      </c>
      <c r="C297" s="59" t="inlineStr">
        <is>
          <t>Borrowers with Overdue Payment</t>
        </is>
      </c>
      <c r="D297" s="59" t="inlineStr">
        <is>
          <t>VC / Number</t>
        </is>
      </c>
      <c r="E297" s="57" t="inlineStr">
        <is>
          <t>OLTP + OLAP</t>
        </is>
      </c>
      <c r="F297" s="57" t="inlineStr">
        <is>
          <t>Show_If: COUNT( SELECT( Borrowers[Row ID], [Daily Collection Status] = "Overdue" )) &gt; 0; Searchable</t>
        </is>
      </c>
      <c r="G297" s="59" t="inlineStr">
        <is>
          <t>Derived AppSheet value used by the app workflow, presentation, or reporting model.</t>
        </is>
      </c>
      <c r="H297" s="59" t="inlineStr">
        <is>
          <t>COUNT( SELECT( Borrowers[Row ID], [Daily Collection Status] = "Overdue" ))</t>
        </is>
      </c>
    </row>
    <row r="298" ht="15" customHeight="1">
      <c r="A298" s="57" t="inlineStr">
        <is>
          <t>Statistics</t>
        </is>
      </c>
      <c r="B298" s="57" t="n">
        <v>34</v>
      </c>
      <c r="C298" s="59" t="inlineStr">
        <is>
          <t>Borrowers Not Paid Today</t>
        </is>
      </c>
      <c r="D298" s="59" t="inlineStr">
        <is>
          <t>VC / Number</t>
        </is>
      </c>
      <c r="E298" s="57" t="inlineStr">
        <is>
          <t>OLTP + OLAP</t>
        </is>
      </c>
      <c r="F298" s="57" t="inlineStr">
        <is>
          <t>Show_If: COUNT( SELECT( Borrowers[Row ID], [Daily Collection Status] = "Not Paid" )) &gt; 0; Searchable</t>
        </is>
      </c>
      <c r="G298" s="59" t="inlineStr">
        <is>
          <t>Derived AppSheet value used by the app workflow, presentation, or reporting model.</t>
        </is>
      </c>
      <c r="H298" s="59" t="inlineStr">
        <is>
          <t>COUNT( SELECT( Borrowers[Row ID], [Daily Collection Status] = "Not Paid" ))</t>
        </is>
      </c>
    </row>
    <row r="299" ht="15" customHeight="1">
      <c r="A299" s="57" t="inlineStr">
        <is>
          <t>Statistics</t>
        </is>
      </c>
      <c r="B299" s="57" t="n">
        <v>35</v>
      </c>
      <c r="C299" s="59" t="inlineStr">
        <is>
          <t>Header - Collection Status</t>
        </is>
      </c>
      <c r="D299" s="59" t="inlineStr">
        <is>
          <t>VC / Text</t>
        </is>
      </c>
      <c r="E299" s="57" t="inlineStr">
        <is>
          <t>OLTP + OLAP</t>
        </is>
      </c>
      <c r="F299" s="57" t="inlineStr">
        <is>
          <t>-</t>
        </is>
      </c>
      <c r="G299" s="59" t="inlineStr">
        <is>
          <t>Presentation-oriented label or bilingual display value.</t>
        </is>
      </c>
      <c r="H299" s="59" t="inlineStr">
        <is>
          <t>"──── สถานะชำระ / Collection ────"</t>
        </is>
      </c>
    </row>
    <row r="300" ht="15" customHeight="1">
      <c r="A300" s="57" t="inlineStr">
        <is>
          <t>Statistics</t>
        </is>
      </c>
      <c r="B300" s="57" t="n">
        <v>36</v>
      </c>
      <c r="C300" s="59" t="inlineStr">
        <is>
          <t>Amount Due Today</t>
        </is>
      </c>
      <c r="D300" s="59" t="inlineStr">
        <is>
          <t>VC / Price</t>
        </is>
      </c>
      <c r="E300" s="57" t="inlineStr">
        <is>
          <t>OLAP only</t>
        </is>
      </c>
      <c r="F300" s="57" t="inlineStr">
        <is>
          <t>-</t>
        </is>
      </c>
      <c r="G300" s="59" t="inlineStr">
        <is>
          <t>Derived financial aggregate or balance for operational or analytical use.</t>
        </is>
      </c>
      <c r="H300" s="59" t="inlineStr">
        <is>
          <t>SUM( SELECT( Charges[Amount Due], [Charge Date] = TODAY() ))</t>
        </is>
      </c>
    </row>
    <row r="301">
      <c r="A301" s="57" t="inlineStr">
        <is>
          <t>Statistics</t>
        </is>
      </c>
      <c r="B301" s="57" t="n">
        <v>37</v>
      </c>
      <c r="C301" s="59" t="inlineStr">
        <is>
          <t>Amount Collected Today</t>
        </is>
      </c>
      <c r="D301" s="59" t="inlineStr">
        <is>
          <t>VC / Price</t>
        </is>
      </c>
      <c r="E301" s="57" t="inlineStr">
        <is>
          <t>OLAP only</t>
        </is>
      </c>
      <c r="F301" s="57" t="inlineStr">
        <is>
          <t>-</t>
        </is>
      </c>
      <c r="G301" s="59" t="inlineStr">
        <is>
          <t>Derived financial aggregate or balance for operational or analytical use.</t>
        </is>
      </c>
      <c r="H301" s="59" t="inlineStr">
        <is>
          <t>SUM( SELECT( Charges[Total Paid], [Charge Date] = TODAY() ))</t>
        </is>
      </c>
    </row>
    <row r="302">
      <c r="A302" s="57" t="inlineStr">
        <is>
          <t>Statistics</t>
        </is>
      </c>
      <c r="B302" s="57" t="n">
        <v>38</v>
      </c>
      <c r="C302" s="59" t="inlineStr">
        <is>
          <t>Amount Outstanding Today</t>
        </is>
      </c>
      <c r="D302" s="59" t="inlineStr">
        <is>
          <t>VC / Price</t>
        </is>
      </c>
      <c r="E302" s="57" t="inlineStr">
        <is>
          <t>OLAP only</t>
        </is>
      </c>
      <c r="F302" s="57" t="inlineStr">
        <is>
          <t>-</t>
        </is>
      </c>
      <c r="G302" s="59" t="inlineStr">
        <is>
          <t>Derived financial aggregate or balance for operational or analytical use.</t>
        </is>
      </c>
      <c r="H302" s="59" t="inlineStr">
        <is>
          <t>SUM( SELECT( Charges[Amount Remaining], [Charge Date] = TODAY() ))</t>
        </is>
      </c>
    </row>
    <row r="303">
      <c r="A303" s="57" t="inlineStr">
        <is>
          <t>Statistics</t>
        </is>
      </c>
      <c r="B303" s="57" t="n">
        <v>39</v>
      </c>
      <c r="C303" s="59" t="inlineStr">
        <is>
          <t>Amount Collection Rate Today</t>
        </is>
      </c>
      <c r="D303" s="59" t="inlineStr">
        <is>
          <t>VC / Number</t>
        </is>
      </c>
      <c r="E303" s="57" t="inlineStr">
        <is>
          <t>OLAP only</t>
        </is>
      </c>
      <c r="F303" s="57" t="inlineStr">
        <is>
          <t>-</t>
        </is>
      </c>
      <c r="G303" s="59" t="inlineStr">
        <is>
          <t>Derived ratio or performance measure calculated from governed source values.</t>
        </is>
      </c>
      <c r="H303" s="59" t="inlineStr">
        <is>
          <t>IF( [Amount Due Today] = 0, 0, [Amount Collected Today] / [Amount Due Today])</t>
        </is>
      </c>
    </row>
  </sheetData>
  <mergeCells count="2">
    <mergeCell ref="A2:H2"/>
    <mergeCell ref="A1:H1"/>
  </mergeCells>
  <conditionalFormatting sqref="E5:E300">
    <cfRule type="containsText" priority="1" operator="containsText" dxfId="0" text="OLAP only"/>
    <cfRule type="containsText" priority="2" operator="containsText" dxfId="1" text="OLTP only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2" customWidth="1" min="4" max="4"/>
    <col width="40" customWidth="1" min="5" max="5"/>
  </cols>
  <sheetData>
    <row r="1" ht="30" customHeight="1">
      <c r="A1" s="3" t="inlineStr">
        <is>
          <t>Relationships</t>
        </is>
      </c>
    </row>
    <row r="2" ht="30" customHeight="1">
      <c r="A2" s="7" t="inlineStr">
        <is>
          <t>Direct Ref targets and Is a part of? settings reconciled with both live AppSheet editors on 2026-08-30.</t>
        </is>
      </c>
    </row>
    <row r="4" ht="30" customHeight="1">
      <c r="A4" s="50" t="inlineStr">
        <is>
          <t>Child table</t>
        </is>
      </c>
      <c r="B4" s="51" t="inlineStr">
        <is>
          <t>Ref column</t>
        </is>
      </c>
      <c r="C4" s="51" t="inlineStr">
        <is>
          <t>Parent table</t>
        </is>
      </c>
      <c r="D4" s="51" t="inlineStr">
        <is>
          <t>Cardinality</t>
        </is>
      </c>
      <c r="E4" s="52" t="inlineStr">
        <is>
          <t>Is a part of?</t>
        </is>
      </c>
    </row>
    <row r="5" ht="15" customHeight="1">
      <c r="A5" s="56" t="inlineStr">
        <is>
          <t>Calendar</t>
        </is>
      </c>
      <c r="B5" s="56" t="inlineStr">
        <is>
          <t>Assessment Borrower</t>
        </is>
      </c>
      <c r="C5" s="56" t="inlineStr">
        <is>
          <t>Borrowers</t>
        </is>
      </c>
      <c r="D5" s="58" t="inlineStr">
        <is>
          <t>Borrowers 1 -&gt; many Calendar</t>
        </is>
      </c>
      <c r="E5" s="58" t="inlineStr">
        <is>
          <t>Independent child lifecycle</t>
        </is>
      </c>
    </row>
    <row r="6" ht="15" customHeight="1">
      <c r="A6" s="57" t="inlineStr">
        <is>
          <t>Cash Pool Contributions</t>
        </is>
      </c>
      <c r="B6" s="57" t="inlineStr">
        <is>
          <t>Ref Partner</t>
        </is>
      </c>
      <c r="C6" s="57" t="inlineStr">
        <is>
          <t>Partners</t>
        </is>
      </c>
      <c r="D6" s="59" t="inlineStr">
        <is>
          <t>Partners 1 -&gt; many Cash Pool Contributions</t>
        </is>
      </c>
      <c r="E6" s="59" t="inlineStr">
        <is>
          <t>Independent child lifecycle</t>
        </is>
      </c>
    </row>
    <row r="7" ht="15" customHeight="1">
      <c r="A7" s="57" t="inlineStr">
        <is>
          <t>Charges</t>
        </is>
      </c>
      <c r="B7" s="57" t="inlineStr">
        <is>
          <t>Ref Loans</t>
        </is>
      </c>
      <c r="C7" s="57" t="inlineStr">
        <is>
          <t>Loans</t>
        </is>
      </c>
      <c r="D7" s="59" t="inlineStr">
        <is>
          <t>Loans 1 -&gt; many Charges</t>
        </is>
      </c>
      <c r="E7" s="59" t="inlineStr">
        <is>
          <t>Child rows are marked part-of parent</t>
        </is>
      </c>
    </row>
    <row r="8" ht="15" customHeight="1">
      <c r="A8" s="57" t="inlineStr">
        <is>
          <t>Loan Assessment</t>
        </is>
      </c>
      <c r="B8" s="57" t="inlineStr">
        <is>
          <t>Ref Borrower</t>
        </is>
      </c>
      <c r="C8" s="57" t="inlineStr">
        <is>
          <t>Borrowers</t>
        </is>
      </c>
      <c r="D8" s="59" t="inlineStr">
        <is>
          <t>Borrowers 1 -&gt; many Loan Assessment</t>
        </is>
      </c>
      <c r="E8" s="59" t="inlineStr">
        <is>
          <t>Independent child lifecycle</t>
        </is>
      </c>
    </row>
    <row r="9" ht="15" customHeight="1">
      <c r="A9" s="57" t="inlineStr">
        <is>
          <t>Loans</t>
        </is>
      </c>
      <c r="B9" s="57" t="inlineStr">
        <is>
          <t>Ref Borrowers</t>
        </is>
      </c>
      <c r="C9" s="57" t="inlineStr">
        <is>
          <t>Borrowers</t>
        </is>
      </c>
      <c r="D9" s="59" t="inlineStr">
        <is>
          <t>Borrowers 1 -&gt; many Loans</t>
        </is>
      </c>
      <c r="E9" s="59" t="inlineStr">
        <is>
          <t>Child rows are marked part-of parent</t>
        </is>
      </c>
    </row>
    <row r="10" ht="15" customHeight="1">
      <c r="A10" s="57" t="inlineStr">
        <is>
          <t>Repayments</t>
        </is>
      </c>
      <c r="B10" s="57" t="inlineStr">
        <is>
          <t>Ref Loans</t>
        </is>
      </c>
      <c r="C10" s="57" t="inlineStr">
        <is>
          <t>Loans</t>
        </is>
      </c>
      <c r="D10" s="59" t="inlineStr">
        <is>
          <t>Loans 1 -&gt; many Repayments</t>
        </is>
      </c>
      <c r="E10" s="59" t="inlineStr">
        <is>
          <t>Independent child lifecycle</t>
        </is>
      </c>
    </row>
    <row r="11" ht="15" customHeight="1">
      <c r="A11" s="57" t="inlineStr">
        <is>
          <t>Repayments</t>
        </is>
      </c>
      <c r="B11" s="57" t="inlineStr">
        <is>
          <t>Ref Charges</t>
        </is>
      </c>
      <c r="C11" s="57" t="inlineStr">
        <is>
          <t>Charges</t>
        </is>
      </c>
      <c r="D11" s="59" t="inlineStr">
        <is>
          <t>Charges 1 -&gt; many Repayments</t>
        </is>
      </c>
      <c r="E11" s="59" t="inlineStr">
        <is>
          <t>Child rows are marked part-of parent</t>
        </is>
      </c>
    </row>
    <row r="12" ht="15" customHeight="1">
      <c r="A12" s="57" t="inlineStr">
        <is>
          <t>Settlements</t>
        </is>
      </c>
      <c r="B12" s="57" t="inlineStr">
        <is>
          <t>Ref Partner</t>
        </is>
      </c>
      <c r="C12" s="57" t="inlineStr">
        <is>
          <t>Partners</t>
        </is>
      </c>
      <c r="D12" s="59" t="inlineStr">
        <is>
          <t>Partners 1 -&gt; many Settlements</t>
        </is>
      </c>
      <c r="E12" s="59" t="inlineStr">
        <is>
          <t>Independent child lifecycle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62" customWidth="1" min="4" max="4"/>
    <col width="22" customWidth="1" min="5" max="5"/>
    <col width="14" customWidth="1" min="6" max="6"/>
    <col width="58" customWidth="1" min="7" max="7"/>
    <col width="28" customWidth="1" min="8" max="8"/>
  </cols>
  <sheetData>
    <row r="1" ht="30" customHeight="1">
      <c r="A1" s="3" t="inlineStr">
        <is>
          <t>Slices</t>
        </is>
      </c>
    </row>
    <row r="2" ht="30" customHeight="1">
      <c r="A2" s="7" t="inlineStr">
        <is>
          <t>Live slice filters, update permissions, purposes, and included-column counts reconciled on 2026-08-30.</t>
        </is>
      </c>
    </row>
    <row r="4" ht="30" customHeight="1">
      <c r="A4" s="50" t="inlineStr">
        <is>
          <t>App</t>
        </is>
      </c>
      <c r="B4" s="51" t="inlineStr">
        <is>
          <t>Slice</t>
        </is>
      </c>
      <c r="C4" s="51" t="inlineStr">
        <is>
          <t>Source</t>
        </is>
      </c>
      <c r="D4" s="51" t="inlineStr">
        <is>
          <t>Row Filter</t>
        </is>
      </c>
      <c r="E4" s="51" t="inlineStr">
        <is>
          <t>Update Mode</t>
        </is>
      </c>
      <c r="F4" s="51" t="inlineStr">
        <is>
          <t>Column Count</t>
        </is>
      </c>
      <c r="G4" s="51" t="inlineStr">
        <is>
          <t>Purpose</t>
        </is>
      </c>
      <c r="H4" s="52" t="inlineStr">
        <is>
          <t>Comment</t>
        </is>
      </c>
    </row>
    <row r="5" ht="15" customHeight="1">
      <c r="A5" s="56" t="inlineStr">
        <is>
          <t>OLTP</t>
        </is>
      </c>
      <c r="B5" s="58" t="inlineStr">
        <is>
          <t>Todays Collection Board</t>
        </is>
      </c>
      <c r="C5" s="56" t="inlineStr">
        <is>
          <t>Borrowers</t>
        </is>
      </c>
      <c r="D5" s="58" t="inlineStr">
        <is>
          <t>ISNOTBLANK([Daily Collection Status])</t>
        </is>
      </c>
      <c r="E5" s="56" t="inlineStr">
        <is>
          <t>Read-only</t>
        </is>
      </c>
      <c r="F5" s="56" t="n">
        <v>10</v>
      </c>
      <c r="G5" s="58" t="inlineStr">
        <is>
          <t>Read-only borrower workboard restricted to borrowers with a current collection status.</t>
        </is>
      </c>
      <c r="H5" s="58" t="n"/>
    </row>
    <row r="6" ht="15" customHeight="1">
      <c r="A6" s="56" t="inlineStr">
        <is>
          <t>OLTP</t>
        </is>
      </c>
      <c r="B6" s="58" t="inlineStr">
        <is>
          <t>Visible Borrowers</t>
        </is>
      </c>
      <c r="C6" s="56" t="inlineStr">
        <is>
          <t>Borrowers</t>
        </is>
      </c>
      <c r="D6" s="58" t="inlineStr">
        <is>
          <t>NOT([Hidden Flag])</t>
        </is>
      </c>
      <c r="E6" s="56" t="inlineStr">
        <is>
          <t>Adds, updates, deletes</t>
        </is>
      </c>
      <c r="F6" s="56" t="n">
        <v>31</v>
      </c>
      <c r="G6" s="58" t="inlineStr">
        <is>
          <t>Editable production borrower-list slice that excludes only rows explicitly marked hidden.</t>
        </is>
      </c>
      <c r="H6" s="58" t="inlineStr">
        <is>
          <t>Primary OLTP borrower-list slice. Excludes rows where [Hidden Flag] is TRUE; base-table relationships, loans, collections, and calculations remain unchanged.</t>
        </is>
      </c>
    </row>
    <row r="7" ht="15" customHeight="1">
      <c r="A7" s="57" t="inlineStr">
        <is>
          <t>OLAP</t>
        </is>
      </c>
      <c r="B7" s="59" t="inlineStr">
        <is>
          <t>Borrowers with Outstanding Loans</t>
        </is>
      </c>
      <c r="C7" s="57" t="inlineStr">
        <is>
          <t>Borrowers</t>
        </is>
      </c>
      <c r="D7" s="59" t="inlineStr">
        <is>
          <t>[Total Outstanding Principal] &gt; 0</t>
        </is>
      </c>
      <c r="E7" s="57" t="inlineStr">
        <is>
          <t>Read-only</t>
        </is>
      </c>
      <c r="F7" s="57" t="n">
        <v>56</v>
      </c>
      <c r="G7" s="59" t="inlineStr">
        <is>
          <t>Read-only OLAP subset of borrowers whose outstanding principal is greater than zero.</t>
        </is>
      </c>
      <c r="H7" s="59" t="n"/>
    </row>
    <row r="8" ht="15" customHeight="1">
      <c r="A8" s="57" t="inlineStr">
        <is>
          <t>OLAP</t>
        </is>
      </c>
      <c r="B8" s="59" t="inlineStr">
        <is>
          <t>Profit Contribution 30D</t>
        </is>
      </c>
      <c r="C8" s="57" t="inlineStr">
        <is>
          <t>Borrowers</t>
        </is>
      </c>
      <c r="D8" s="59" t="inlineStr">
        <is>
          <t>[Profit Last 30 Days] &gt; 0</t>
        </is>
      </c>
      <c r="E8" s="57" t="inlineStr">
        <is>
          <t>Read-only</t>
        </is>
      </c>
      <c r="F8" s="57" t="n">
        <v>56</v>
      </c>
      <c r="G8" s="59" t="inlineStr">
        <is>
          <t>Read-only OLAP subset of borrowers contributing positive interest profit in the last 30 days.</t>
        </is>
      </c>
      <c r="H8" s="59" t="n"/>
    </row>
    <row r="9" ht="15" customHeight="1">
      <c r="A9" s="57" t="inlineStr">
        <is>
          <t>OLAP</t>
        </is>
      </c>
      <c r="B9" s="59" t="inlineStr">
        <is>
          <t>Reporting Borrowers</t>
        </is>
      </c>
      <c r="C9" s="57" t="inlineStr">
        <is>
          <t>Borrowers</t>
        </is>
      </c>
      <c r="D9" s="59" t="inlineStr">
        <is>
          <t>TRUE</t>
        </is>
      </c>
      <c r="E9" s="57" t="inlineStr">
        <is>
          <t>Read-only</t>
        </is>
      </c>
      <c r="F9" s="57" t="n">
        <v>40</v>
      </c>
      <c r="G9" s="59" t="inlineStr">
        <is>
          <t>Curated, read-only borrower feed for downstream reporting and dashboard reconciliation.</t>
        </is>
      </c>
      <c r="H9" s="59" t="n"/>
    </row>
    <row r="10" ht="15" customHeight="1">
      <c r="A10" s="57" t="inlineStr">
        <is>
          <t>OLAP</t>
        </is>
      </c>
      <c r="B10" s="59" t="inlineStr">
        <is>
          <t>Reporting Charges</t>
        </is>
      </c>
      <c r="C10" s="57" t="inlineStr">
        <is>
          <t>Charges</t>
        </is>
      </c>
      <c r="D10" s="59" t="inlineStr">
        <is>
          <t>TRUE</t>
        </is>
      </c>
      <c r="E10" s="57" t="inlineStr">
        <is>
          <t>Read-only</t>
        </is>
      </c>
      <c r="F10" s="57" t="n">
        <v>20</v>
      </c>
      <c r="G10" s="59" t="inlineStr">
        <is>
          <t>Curated, read-only charge feed with due, paid, remaining, lateness, and borrower fields.</t>
        </is>
      </c>
      <c r="H10" s="59" t="n"/>
    </row>
    <row r="11" ht="15" customHeight="1">
      <c r="A11" s="57" t="inlineStr">
        <is>
          <t>OLAP</t>
        </is>
      </c>
      <c r="B11" s="59" t="inlineStr">
        <is>
          <t>Daily Analytics 7 Days</t>
        </is>
      </c>
      <c r="C11" s="57" t="inlineStr">
        <is>
          <t>Daily Analytics</t>
        </is>
      </c>
      <c r="D11" s="59" t="inlineStr">
        <is>
          <t>[Snapshot Date] &gt;= NOW() - 7</t>
        </is>
      </c>
      <c r="E11" s="57" t="inlineStr">
        <is>
          <t>Read-only</t>
        </is>
      </c>
      <c r="F11" s="57" t="n">
        <v>23</v>
      </c>
      <c r="G11" s="59" t="inlineStr">
        <is>
          <t>Rolling seven-day daily-analytics window for recent trend analysis.</t>
        </is>
      </c>
      <c r="H11" s="59" t="n"/>
    </row>
    <row r="12" ht="15" customHeight="1">
      <c r="A12" s="57" t="inlineStr">
        <is>
          <t>OLAP</t>
        </is>
      </c>
      <c r="B12" s="59" t="inlineStr">
        <is>
          <t>Daily Analytics 30 Days</t>
        </is>
      </c>
      <c r="C12" s="57" t="inlineStr">
        <is>
          <t>Daily Analytics</t>
        </is>
      </c>
      <c r="D12" s="59" t="inlineStr">
        <is>
          <t>[Snapshot Date] &gt;= NOW() - 30</t>
        </is>
      </c>
      <c r="E12" s="57" t="inlineStr">
        <is>
          <t>Read-only</t>
        </is>
      </c>
      <c r="F12" s="57" t="n">
        <v>23</v>
      </c>
      <c r="G12" s="59" t="inlineStr">
        <is>
          <t>Rolling 30-day daily-analytics window for monthly and near-term trend analysis.</t>
        </is>
      </c>
      <c r="H12" s="59" t="n"/>
    </row>
    <row r="13" ht="15" customHeight="1">
      <c r="A13" s="57" t="inlineStr">
        <is>
          <t>OLAP</t>
        </is>
      </c>
      <c r="B13" s="59" t="inlineStr">
        <is>
          <t>Daily Analytics 90 Days</t>
        </is>
      </c>
      <c r="C13" s="57" t="inlineStr">
        <is>
          <t>Daily Analytics</t>
        </is>
      </c>
      <c r="D13" s="59" t="inlineStr">
        <is>
          <t>[Snapshot Date] &gt;= NOW() - 90</t>
        </is>
      </c>
      <c r="E13" s="57" t="inlineStr">
        <is>
          <t>Read-only</t>
        </is>
      </c>
      <c r="F13" s="57" t="n">
        <v>23</v>
      </c>
      <c r="G13" s="59" t="inlineStr">
        <is>
          <t>Rolling 90-day daily-analytics window for medium-term portfolio trends.</t>
        </is>
      </c>
      <c r="H13" s="59" t="n"/>
    </row>
    <row r="14" ht="15" customHeight="1">
      <c r="A14" s="57" t="inlineStr">
        <is>
          <t>OLAP</t>
        </is>
      </c>
      <c r="B14" s="59" t="inlineStr">
        <is>
          <t>Reporting Daily Analytics</t>
        </is>
      </c>
      <c r="C14" s="57" t="inlineStr">
        <is>
          <t>Daily Analytics</t>
        </is>
      </c>
      <c r="D14" s="59" t="inlineStr">
        <is>
          <t>TRUE</t>
        </is>
      </c>
      <c r="E14" s="57" t="inlineStr">
        <is>
          <t>Read-only</t>
        </is>
      </c>
      <c r="F14" s="57" t="n">
        <v>13</v>
      </c>
      <c r="G14" s="59" t="inlineStr">
        <is>
          <t>Curated, read-only daily snapshot feed for governed downstream reporting.</t>
        </is>
      </c>
      <c r="H14" s="59" t="n"/>
    </row>
    <row r="15" ht="15" customHeight="1">
      <c r="A15" s="57" t="inlineStr">
        <is>
          <t>OLAP</t>
        </is>
      </c>
      <c r="B15" s="59" t="inlineStr">
        <is>
          <t>Reporting Loans</t>
        </is>
      </c>
      <c r="C15" s="57" t="inlineStr">
        <is>
          <t>Loans</t>
        </is>
      </c>
      <c r="D15" s="59" t="inlineStr">
        <is>
          <t>TRUE</t>
        </is>
      </c>
      <c r="E15" s="57" t="inlineStr">
        <is>
          <t>Read-only</t>
        </is>
      </c>
      <c r="F15" s="57" t="n">
        <v>30</v>
      </c>
      <c r="G15" s="59" t="inlineStr">
        <is>
          <t>Curated, read-only loan feed containing contract, balance, rate, age, and default fields.</t>
        </is>
      </c>
      <c r="H15" s="59" t="n"/>
    </row>
    <row r="16" ht="15" customHeight="1">
      <c r="A16" s="57" t="inlineStr">
        <is>
          <t>OLAP</t>
        </is>
      </c>
      <c r="B16" s="59" t="inlineStr">
        <is>
          <t>Reporting Repayments</t>
        </is>
      </c>
      <c r="C16" s="57" t="inlineStr">
        <is>
          <t>Repayments</t>
        </is>
      </c>
      <c r="D16" s="59" t="inlineStr">
        <is>
          <t>TRUE</t>
        </is>
      </c>
      <c r="E16" s="57" t="inlineStr">
        <is>
          <t>Read-only</t>
        </is>
      </c>
      <c r="F16" s="57" t="n">
        <v>8</v>
      </c>
      <c r="G16" s="59" t="inlineStr">
        <is>
          <t>Curated, read-only posted-payment feed with loan and charge references.</t>
        </is>
      </c>
      <c r="H16" s="59" t="n"/>
    </row>
    <row r="17" ht="15" customHeight="1">
      <c r="A17" s="57" t="inlineStr">
        <is>
          <t>OLAP</t>
        </is>
      </c>
      <c r="B17" s="59" t="inlineStr">
        <is>
          <t>Reporting Statistics</t>
        </is>
      </c>
      <c r="C17" s="57" t="inlineStr">
        <is>
          <t>Statistics</t>
        </is>
      </c>
      <c r="D17" s="59" t="inlineStr">
        <is>
          <t>TRUE</t>
        </is>
      </c>
      <c r="E17" s="57" t="inlineStr">
        <is>
          <t>Read-only</t>
        </is>
      </c>
      <c r="F17" s="57" t="n">
        <v>17</v>
      </c>
      <c r="G17" s="59" t="inlineStr">
        <is>
          <t>Curated, read-only KPI feed for governed dashboard totals.</t>
        </is>
      </c>
      <c r="H17" s="59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42" customWidth="1" min="4" max="4"/>
  </cols>
  <sheetData>
    <row r="1" ht="30" customHeight="1">
      <c r="A1" s="3" t="inlineStr">
        <is>
          <t>Slice Columns</t>
        </is>
      </c>
    </row>
    <row r="2" ht="30" customHeight="1">
      <c r="A2" s="7" t="inlineStr">
        <is>
          <t>One row per live included slice column, preserving display order; reconciled on 2026-08-30.</t>
        </is>
      </c>
    </row>
    <row r="4" ht="30" customHeight="1">
      <c r="A4" s="50" t="inlineStr">
        <is>
          <t>App</t>
        </is>
      </c>
      <c r="B4" s="51" t="inlineStr">
        <is>
          <t>Slice</t>
        </is>
      </c>
      <c r="C4" s="51" t="inlineStr">
        <is>
          <t>Column Order</t>
        </is>
      </c>
      <c r="D4" s="52" t="inlineStr">
        <is>
          <t>Column</t>
        </is>
      </c>
    </row>
    <row r="5" ht="15" customHeight="1">
      <c r="A5" s="56" t="inlineStr">
        <is>
          <t>OLTP</t>
        </is>
      </c>
      <c r="B5" s="58" t="inlineStr">
        <is>
          <t>Todays Collection Board</t>
        </is>
      </c>
      <c r="C5" s="56" t="n">
        <v>1</v>
      </c>
      <c r="D5" s="58" t="inlineStr">
        <is>
          <t>_RowNumber</t>
        </is>
      </c>
    </row>
    <row r="6" ht="15" customHeight="1">
      <c r="A6" s="57" t="inlineStr">
        <is>
          <t>OLTP</t>
        </is>
      </c>
      <c r="B6" s="59" t="inlineStr">
        <is>
          <t>Todays Collection Board</t>
        </is>
      </c>
      <c r="C6" s="57" t="n">
        <v>2</v>
      </c>
      <c r="D6" s="59" t="inlineStr">
        <is>
          <t>Row ID</t>
        </is>
      </c>
    </row>
    <row r="7" ht="15" customHeight="1">
      <c r="A7" s="57" t="inlineStr">
        <is>
          <t>OLTP</t>
        </is>
      </c>
      <c r="B7" s="59" t="inlineStr">
        <is>
          <t>Todays Collection Board</t>
        </is>
      </c>
      <c r="C7" s="57" t="n">
        <v>3</v>
      </c>
      <c r="D7" s="59" t="inlineStr">
        <is>
          <t>Borrower Name</t>
        </is>
      </c>
    </row>
    <row r="8" ht="15" customHeight="1">
      <c r="A8" s="57" t="inlineStr">
        <is>
          <t>OLTP</t>
        </is>
      </c>
      <c r="B8" s="59" t="inlineStr">
        <is>
          <t>Todays Collection Board</t>
        </is>
      </c>
      <c r="C8" s="57" t="n">
        <v>4</v>
      </c>
      <c r="D8" s="59" t="inlineStr">
        <is>
          <t>Description</t>
        </is>
      </c>
    </row>
    <row r="9" ht="15" customHeight="1">
      <c r="A9" s="57" t="inlineStr">
        <is>
          <t>OLTP</t>
        </is>
      </c>
      <c r="B9" s="59" t="inlineStr">
        <is>
          <t>Todays Collection Board</t>
        </is>
      </c>
      <c r="C9" s="57" t="n">
        <v>5</v>
      </c>
      <c r="D9" s="59" t="inlineStr">
        <is>
          <t>Daily Collection Status - Order</t>
        </is>
      </c>
    </row>
    <row r="10" ht="15" customHeight="1">
      <c r="A10" s="57" t="inlineStr">
        <is>
          <t>OLTP</t>
        </is>
      </c>
      <c r="B10" s="59" t="inlineStr">
        <is>
          <t>Todays Collection Board</t>
        </is>
      </c>
      <c r="C10" s="57" t="n">
        <v>6</v>
      </c>
      <c r="D10" s="59" t="inlineStr">
        <is>
          <t>Todays Amount Due</t>
        </is>
      </c>
    </row>
    <row r="11" ht="15" customHeight="1">
      <c r="A11" s="57" t="inlineStr">
        <is>
          <t>OLTP</t>
        </is>
      </c>
      <c r="B11" s="59" t="inlineStr">
        <is>
          <t>Todays Collection Board</t>
        </is>
      </c>
      <c r="C11" s="57" t="n">
        <v>7</v>
      </c>
      <c r="D11" s="59" t="inlineStr">
        <is>
          <t>Todays Amount Collected</t>
        </is>
      </c>
    </row>
    <row r="12" ht="15" customHeight="1">
      <c r="A12" s="57" t="inlineStr">
        <is>
          <t>OLTP</t>
        </is>
      </c>
      <c r="B12" s="59" t="inlineStr">
        <is>
          <t>Todays Collection Board</t>
        </is>
      </c>
      <c r="C12" s="57" t="n">
        <v>8</v>
      </c>
      <c r="D12" s="59" t="inlineStr">
        <is>
          <t>Todays Amount Remaining</t>
        </is>
      </c>
    </row>
    <row r="13" ht="15" customHeight="1">
      <c r="A13" s="57" t="inlineStr">
        <is>
          <t>OLTP</t>
        </is>
      </c>
      <c r="B13" s="59" t="inlineStr">
        <is>
          <t>Todays Collection Board</t>
        </is>
      </c>
      <c r="C13" s="57" t="n">
        <v>9</v>
      </c>
      <c r="D13" s="59" t="inlineStr">
        <is>
          <t>Todays Collection Charges</t>
        </is>
      </c>
    </row>
    <row r="14" ht="15" customHeight="1">
      <c r="A14" s="57" t="inlineStr">
        <is>
          <t>OLTP</t>
        </is>
      </c>
      <c r="B14" s="59" t="inlineStr">
        <is>
          <t>Todays Collection Board</t>
        </is>
      </c>
      <c r="C14" s="57" t="n">
        <v>10</v>
      </c>
      <c r="D14" s="59" t="inlineStr">
        <is>
          <t>Borrower Name - Collection</t>
        </is>
      </c>
    </row>
    <row r="15" ht="15" customHeight="1">
      <c r="A15" s="57" t="inlineStr">
        <is>
          <t>OLTP</t>
        </is>
      </c>
      <c r="B15" s="59" t="inlineStr">
        <is>
          <t>Visible Borrowers</t>
        </is>
      </c>
      <c r="C15" s="57" t="n">
        <v>1</v>
      </c>
      <c r="D15" s="59" t="inlineStr">
        <is>
          <t>_RowNumber</t>
        </is>
      </c>
    </row>
    <row r="16" ht="15" customHeight="1">
      <c r="A16" s="57" t="inlineStr">
        <is>
          <t>OLTP</t>
        </is>
      </c>
      <c r="B16" s="59" t="inlineStr">
        <is>
          <t>Visible Borrowers</t>
        </is>
      </c>
      <c r="C16" s="57" t="n">
        <v>2</v>
      </c>
      <c r="D16" s="59" t="inlineStr">
        <is>
          <t>Row ID</t>
        </is>
      </c>
    </row>
    <row r="17" ht="15" customHeight="1">
      <c r="A17" s="57" t="inlineStr">
        <is>
          <t>OLTP</t>
        </is>
      </c>
      <c r="B17" s="59" t="inlineStr">
        <is>
          <t>Visible Borrowers</t>
        </is>
      </c>
      <c r="C17" s="57" t="n">
        <v>3</v>
      </c>
      <c r="D17" s="59" t="inlineStr">
        <is>
          <t>Borrower Name</t>
        </is>
      </c>
    </row>
    <row r="18" ht="15" customHeight="1">
      <c r="A18" s="57" t="inlineStr">
        <is>
          <t>OLTP</t>
        </is>
      </c>
      <c r="B18" s="59" t="inlineStr">
        <is>
          <t>Visible Borrowers</t>
        </is>
      </c>
      <c r="C18" s="57" t="n">
        <v>4</v>
      </c>
      <c r="D18" s="59" t="inlineStr">
        <is>
          <t>Telephone</t>
        </is>
      </c>
    </row>
    <row r="19" ht="15" customHeight="1">
      <c r="A19" s="57" t="inlineStr">
        <is>
          <t>OLTP</t>
        </is>
      </c>
      <c r="B19" s="59" t="inlineStr">
        <is>
          <t>Visible Borrowers</t>
        </is>
      </c>
      <c r="C19" s="57" t="n">
        <v>5</v>
      </c>
      <c r="D19" s="59" t="inlineStr">
        <is>
          <t>Description</t>
        </is>
      </c>
    </row>
    <row r="20" ht="15" customHeight="1">
      <c r="A20" s="57" t="inlineStr">
        <is>
          <t>OLTP</t>
        </is>
      </c>
      <c r="B20" s="59" t="inlineStr">
        <is>
          <t>Visible Borrowers</t>
        </is>
      </c>
      <c r="C20" s="57" t="n">
        <v>6</v>
      </c>
      <c r="D20" s="59" t="inlineStr">
        <is>
          <t>Creation Date</t>
        </is>
      </c>
    </row>
    <row r="21" ht="15" customHeight="1">
      <c r="A21" s="57" t="inlineStr">
        <is>
          <t>OLTP</t>
        </is>
      </c>
      <c r="B21" s="59" t="inlineStr">
        <is>
          <t>Visible Borrowers</t>
        </is>
      </c>
      <c r="C21" s="57" t="n">
        <v>7</v>
      </c>
      <c r="D21" s="59" t="inlineStr">
        <is>
          <t>Hidden Flag</t>
        </is>
      </c>
    </row>
    <row r="22" ht="15" customHeight="1">
      <c r="A22" s="57" t="inlineStr">
        <is>
          <t>OLTP</t>
        </is>
      </c>
      <c r="B22" s="59" t="inlineStr">
        <is>
          <t>Visible Borrowers</t>
        </is>
      </c>
      <c r="C22" s="57" t="n">
        <v>8</v>
      </c>
      <c r="D22" s="59" t="inlineStr">
        <is>
          <t>Related Loans</t>
        </is>
      </c>
    </row>
    <row r="23" ht="15" customHeight="1">
      <c r="A23" s="57" t="inlineStr">
        <is>
          <t>OLTP</t>
        </is>
      </c>
      <c r="B23" s="59" t="inlineStr">
        <is>
          <t>Visible Borrowers</t>
        </is>
      </c>
      <c r="C23" s="57" t="n">
        <v>9</v>
      </c>
      <c r="D23" s="59" t="inlineStr">
        <is>
          <t>Total Interest Earned</t>
        </is>
      </c>
    </row>
    <row r="24" ht="15" customHeight="1">
      <c r="A24" s="57" t="inlineStr">
        <is>
          <t>OLTP</t>
        </is>
      </c>
      <c r="B24" s="59" t="inlineStr">
        <is>
          <t>Visible Borrowers</t>
        </is>
      </c>
      <c r="C24" s="57" t="n">
        <v>10</v>
      </c>
      <c r="D24" s="59" t="inlineStr">
        <is>
          <t>Total Amount Loaned</t>
        </is>
      </c>
    </row>
    <row r="25" ht="15" customHeight="1">
      <c r="A25" s="57" t="inlineStr">
        <is>
          <t>OLTP</t>
        </is>
      </c>
      <c r="B25" s="59" t="inlineStr">
        <is>
          <t>Visible Borrowers</t>
        </is>
      </c>
      <c r="C25" s="57" t="n">
        <v>11</v>
      </c>
      <c r="D25" s="59" t="inlineStr">
        <is>
          <t>Total Number of Loans</t>
        </is>
      </c>
    </row>
    <row r="26" ht="15" customHeight="1">
      <c r="A26" s="57" t="inlineStr">
        <is>
          <t>OLTP</t>
        </is>
      </c>
      <c r="B26" s="59" t="inlineStr">
        <is>
          <t>Visible Borrowers</t>
        </is>
      </c>
      <c r="C26" s="57" t="n">
        <v>12</v>
      </c>
      <c r="D26" s="59" t="inlineStr">
        <is>
          <t>Total Outstanding Principal</t>
        </is>
      </c>
    </row>
    <row r="27" ht="15" customHeight="1">
      <c r="A27" s="57" t="inlineStr">
        <is>
          <t>OLTP</t>
        </is>
      </c>
      <c r="B27" s="59" t="inlineStr">
        <is>
          <t>Visible Borrowers</t>
        </is>
      </c>
      <c r="C27" s="57" t="n">
        <v>13</v>
      </c>
      <c r="D27" s="59" t="inlineStr">
        <is>
          <t>Header - Active Loans</t>
        </is>
      </c>
    </row>
    <row r="28" ht="15" customHeight="1">
      <c r="A28" s="57" t="inlineStr">
        <is>
          <t>OLTP</t>
        </is>
      </c>
      <c r="B28" s="59" t="inlineStr">
        <is>
          <t>Visible Borrowers</t>
        </is>
      </c>
      <c r="C28" s="57" t="n">
        <v>14</v>
      </c>
      <c r="D28" s="59" t="inlineStr">
        <is>
          <t>Borrower Name TE</t>
        </is>
      </c>
    </row>
    <row r="29" ht="15" customHeight="1">
      <c r="A29" s="57" t="inlineStr">
        <is>
          <t>OLTP</t>
        </is>
      </c>
      <c r="B29" s="59" t="inlineStr">
        <is>
          <t>Visible Borrowers</t>
        </is>
      </c>
      <c r="C29" s="57" t="n">
        <v>15</v>
      </c>
      <c r="D29" s="59" t="inlineStr">
        <is>
          <t>Return on Active Principal</t>
        </is>
      </c>
    </row>
    <row r="30" ht="15" customHeight="1">
      <c r="A30" s="57" t="inlineStr">
        <is>
          <t>OLTP</t>
        </is>
      </c>
      <c r="B30" s="59" t="inlineStr">
        <is>
          <t>Visible Borrowers</t>
        </is>
      </c>
      <c r="C30" s="57" t="n">
        <v>16</v>
      </c>
      <c r="D30" s="59" t="inlineStr">
        <is>
          <t>Active Loan Interest Earned</t>
        </is>
      </c>
    </row>
    <row r="31" ht="15" customHeight="1">
      <c r="A31" s="57" t="inlineStr">
        <is>
          <t>OLTP</t>
        </is>
      </c>
      <c r="B31" s="59" t="inlineStr">
        <is>
          <t>Visible Borrowers</t>
        </is>
      </c>
      <c r="C31" s="57" t="n">
        <v>17</v>
      </c>
      <c r="D31" s="59" t="inlineStr">
        <is>
          <t>Active Daily Interest</t>
        </is>
      </c>
    </row>
    <row r="32" ht="15" customHeight="1">
      <c r="A32" s="57" t="inlineStr">
        <is>
          <t>OLTP</t>
        </is>
      </c>
      <c r="B32" s="59" t="inlineStr">
        <is>
          <t>Visible Borrowers</t>
        </is>
      </c>
      <c r="C32" s="57" t="n">
        <v>18</v>
      </c>
      <c r="D32" s="59" t="inlineStr">
        <is>
          <t>Projected Interest Coverage Date</t>
        </is>
      </c>
    </row>
    <row r="33" ht="15" customHeight="1">
      <c r="A33" s="57" t="inlineStr">
        <is>
          <t>OLTP</t>
        </is>
      </c>
      <c r="B33" s="59" t="inlineStr">
        <is>
          <t>Visible Borrowers</t>
        </is>
      </c>
      <c r="C33" s="57" t="n">
        <v>19</v>
      </c>
      <c r="D33" s="59" t="inlineStr">
        <is>
          <t>Closed Loan Interest Earned</t>
        </is>
      </c>
    </row>
    <row r="34" ht="15" customHeight="1">
      <c r="A34" s="57" t="inlineStr">
        <is>
          <t>OLTP</t>
        </is>
      </c>
      <c r="B34" s="59" t="inlineStr">
        <is>
          <t>Visible Borrowers</t>
        </is>
      </c>
      <c r="C34" s="57" t="n">
        <v>20</v>
      </c>
      <c r="D34" s="59" t="inlineStr">
        <is>
          <t>Closed Loan Principle</t>
        </is>
      </c>
    </row>
    <row r="35" ht="15" customHeight="1">
      <c r="A35" s="57" t="inlineStr">
        <is>
          <t>OLTP</t>
        </is>
      </c>
      <c r="B35" s="59" t="inlineStr">
        <is>
          <t>Visible Borrowers</t>
        </is>
      </c>
      <c r="C35" s="57" t="n">
        <v>21</v>
      </c>
      <c r="D35" s="59" t="inlineStr">
        <is>
          <t>Has Closed Loan</t>
        </is>
      </c>
    </row>
    <row r="36" ht="15" customHeight="1">
      <c r="A36" s="57" t="inlineStr">
        <is>
          <t>OLTP</t>
        </is>
      </c>
      <c r="B36" s="59" t="inlineStr">
        <is>
          <t>Visible Borrowers</t>
        </is>
      </c>
      <c r="C36" s="57" t="n">
        <v>22</v>
      </c>
      <c r="D36" s="59" t="inlineStr">
        <is>
          <t>Return on Closed Loans</t>
        </is>
      </c>
    </row>
    <row r="37" ht="15" customHeight="1">
      <c r="A37" s="57" t="inlineStr">
        <is>
          <t>OLTP</t>
        </is>
      </c>
      <c r="B37" s="59" t="inlineStr">
        <is>
          <t>Visible Borrowers</t>
        </is>
      </c>
      <c r="C37" s="57" t="n">
        <v>23</v>
      </c>
      <c r="D37" s="59" t="inlineStr">
        <is>
          <t>Header - Closed Loans</t>
        </is>
      </c>
    </row>
    <row r="38" ht="15" customHeight="1">
      <c r="A38" s="57" t="inlineStr">
        <is>
          <t>OLTP</t>
        </is>
      </c>
      <c r="B38" s="59" t="inlineStr">
        <is>
          <t>Visible Borrowers</t>
        </is>
      </c>
      <c r="C38" s="57" t="n">
        <v>24</v>
      </c>
      <c r="D38" s="59" t="inlineStr">
        <is>
          <t>Has Active Loan</t>
        </is>
      </c>
    </row>
    <row r="39" ht="15" customHeight="1">
      <c r="A39" s="57" t="inlineStr">
        <is>
          <t>OLTP</t>
        </is>
      </c>
      <c r="B39" s="59" t="inlineStr">
        <is>
          <t>Visible Borrowers</t>
        </is>
      </c>
      <c r="C39" s="57" t="n">
        <v>25</v>
      </c>
      <c r="D39" s="59" t="inlineStr">
        <is>
          <t>Daily Collection Status</t>
        </is>
      </c>
    </row>
    <row r="40" ht="15" customHeight="1">
      <c r="A40" s="57" t="inlineStr">
        <is>
          <t>OLTP</t>
        </is>
      </c>
      <c r="B40" s="59" t="inlineStr">
        <is>
          <t>Visible Borrowers</t>
        </is>
      </c>
      <c r="C40" s="57" t="n">
        <v>26</v>
      </c>
      <c r="D40" s="59" t="inlineStr">
        <is>
          <t>Todays Collection Charges</t>
        </is>
      </c>
    </row>
    <row r="41" ht="15" customHeight="1">
      <c r="A41" s="57" t="inlineStr">
        <is>
          <t>OLTP</t>
        </is>
      </c>
      <c r="B41" s="59" t="inlineStr">
        <is>
          <t>Visible Borrowers</t>
        </is>
      </c>
      <c r="C41" s="57" t="n">
        <v>27</v>
      </c>
      <c r="D41" s="59" t="inlineStr">
        <is>
          <t>Todays Amount Due</t>
        </is>
      </c>
    </row>
    <row r="42" ht="15" customHeight="1">
      <c r="A42" s="57" t="inlineStr">
        <is>
          <t>OLTP</t>
        </is>
      </c>
      <c r="B42" s="59" t="inlineStr">
        <is>
          <t>Visible Borrowers</t>
        </is>
      </c>
      <c r="C42" s="57" t="n">
        <v>28</v>
      </c>
      <c r="D42" s="59" t="inlineStr">
        <is>
          <t>Todays Amount Collected</t>
        </is>
      </c>
    </row>
    <row r="43" ht="15" customHeight="1">
      <c r="A43" s="57" t="inlineStr">
        <is>
          <t>OLTP</t>
        </is>
      </c>
      <c r="B43" s="59" t="inlineStr">
        <is>
          <t>Visible Borrowers</t>
        </is>
      </c>
      <c r="C43" s="57" t="n">
        <v>29</v>
      </c>
      <c r="D43" s="59" t="inlineStr">
        <is>
          <t>Todays Amount Remaining</t>
        </is>
      </c>
    </row>
    <row r="44" ht="15" customHeight="1">
      <c r="A44" s="57" t="inlineStr">
        <is>
          <t>OLTP</t>
        </is>
      </c>
      <c r="B44" s="59" t="inlineStr">
        <is>
          <t>Visible Borrowers</t>
        </is>
      </c>
      <c r="C44" s="57" t="n">
        <v>30</v>
      </c>
      <c r="D44" s="59" t="inlineStr">
        <is>
          <t>Daily Collection Status - Order</t>
        </is>
      </c>
    </row>
    <row r="45" ht="15" customHeight="1">
      <c r="A45" s="57" t="inlineStr">
        <is>
          <t>OLTP</t>
        </is>
      </c>
      <c r="B45" s="59" t="inlineStr">
        <is>
          <t>Visible Borrowers</t>
        </is>
      </c>
      <c r="C45" s="57" t="n">
        <v>31</v>
      </c>
      <c r="D45" s="59" t="inlineStr">
        <is>
          <t>Borrower Name - Collection</t>
        </is>
      </c>
    </row>
    <row r="46" ht="15" customHeight="1">
      <c r="A46" s="57" t="inlineStr">
        <is>
          <t>OLAP</t>
        </is>
      </c>
      <c r="B46" s="59" t="inlineStr">
        <is>
          <t>Borrowers with Outstanding Loans</t>
        </is>
      </c>
      <c r="C46" s="57" t="n">
        <v>1</v>
      </c>
      <c r="D46" s="59" t="inlineStr">
        <is>
          <t>_RowNumber</t>
        </is>
      </c>
    </row>
    <row r="47" ht="15" customHeight="1">
      <c r="A47" s="57" t="inlineStr">
        <is>
          <t>OLAP</t>
        </is>
      </c>
      <c r="B47" s="59" t="inlineStr">
        <is>
          <t>Borrowers with Outstanding Loans</t>
        </is>
      </c>
      <c r="C47" s="57" t="n">
        <v>2</v>
      </c>
      <c r="D47" s="59" t="inlineStr">
        <is>
          <t>Row ID</t>
        </is>
      </c>
    </row>
    <row r="48" ht="15" customHeight="1">
      <c r="A48" s="57" t="inlineStr">
        <is>
          <t>OLAP</t>
        </is>
      </c>
      <c r="B48" s="59" t="inlineStr">
        <is>
          <t>Borrowers with Outstanding Loans</t>
        </is>
      </c>
      <c r="C48" s="57" t="n">
        <v>3</v>
      </c>
      <c r="D48" s="59" t="inlineStr">
        <is>
          <t>Borrower Name</t>
        </is>
      </c>
    </row>
    <row r="49" ht="15" customHeight="1">
      <c r="A49" s="57" t="inlineStr">
        <is>
          <t>OLAP</t>
        </is>
      </c>
      <c r="B49" s="59" t="inlineStr">
        <is>
          <t>Borrowers with Outstanding Loans</t>
        </is>
      </c>
      <c r="C49" s="57" t="n">
        <v>4</v>
      </c>
      <c r="D49" s="59" t="inlineStr">
        <is>
          <t>Telephone</t>
        </is>
      </c>
    </row>
    <row r="50" ht="15" customHeight="1">
      <c r="A50" s="57" t="inlineStr">
        <is>
          <t>OLAP</t>
        </is>
      </c>
      <c r="B50" s="59" t="inlineStr">
        <is>
          <t>Borrowers with Outstanding Loans</t>
        </is>
      </c>
      <c r="C50" s="57" t="n">
        <v>5</v>
      </c>
      <c r="D50" s="59" t="inlineStr">
        <is>
          <t>Description</t>
        </is>
      </c>
    </row>
    <row r="51" ht="15" customHeight="1">
      <c r="A51" s="57" t="inlineStr">
        <is>
          <t>OLAP</t>
        </is>
      </c>
      <c r="B51" s="59" t="inlineStr">
        <is>
          <t>Borrowers with Outstanding Loans</t>
        </is>
      </c>
      <c r="C51" s="57" t="n">
        <v>6</v>
      </c>
      <c r="D51" s="59" t="inlineStr">
        <is>
          <t>Creation Date</t>
        </is>
      </c>
    </row>
    <row r="52" ht="15" customHeight="1">
      <c r="A52" s="57" t="inlineStr">
        <is>
          <t>OLAP</t>
        </is>
      </c>
      <c r="B52" s="59" t="inlineStr">
        <is>
          <t>Borrowers with Outstanding Loans</t>
        </is>
      </c>
      <c r="C52" s="57" t="n">
        <v>7</v>
      </c>
      <c r="D52" s="59" t="inlineStr">
        <is>
          <t>Related Loans</t>
        </is>
      </c>
    </row>
    <row r="53" ht="15" customHeight="1">
      <c r="A53" s="57" t="inlineStr">
        <is>
          <t>OLAP</t>
        </is>
      </c>
      <c r="B53" s="59" t="inlineStr">
        <is>
          <t>Borrowers with Outstanding Loans</t>
        </is>
      </c>
      <c r="C53" s="57" t="n">
        <v>8</v>
      </c>
      <c r="D53" s="59" t="inlineStr">
        <is>
          <t>Total Interest Earned</t>
        </is>
      </c>
    </row>
    <row r="54" ht="15" customHeight="1">
      <c r="A54" s="57" t="inlineStr">
        <is>
          <t>OLAP</t>
        </is>
      </c>
      <c r="B54" s="59" t="inlineStr">
        <is>
          <t>Borrowers with Outstanding Loans</t>
        </is>
      </c>
      <c r="C54" s="57" t="n">
        <v>9</v>
      </c>
      <c r="D54" s="59" t="inlineStr">
        <is>
          <t>Total Amount Loaned</t>
        </is>
      </c>
    </row>
    <row r="55" ht="15" customHeight="1">
      <c r="A55" s="57" t="inlineStr">
        <is>
          <t>OLAP</t>
        </is>
      </c>
      <c r="B55" s="59" t="inlineStr">
        <is>
          <t>Borrowers with Outstanding Loans</t>
        </is>
      </c>
      <c r="C55" s="57" t="n">
        <v>10</v>
      </c>
      <c r="D55" s="59" t="inlineStr">
        <is>
          <t>Total Number of Loans</t>
        </is>
      </c>
    </row>
    <row r="56" ht="15" customHeight="1">
      <c r="A56" s="57" t="inlineStr">
        <is>
          <t>OLAP</t>
        </is>
      </c>
      <c r="B56" s="59" t="inlineStr">
        <is>
          <t>Borrowers with Outstanding Loans</t>
        </is>
      </c>
      <c r="C56" s="57" t="n">
        <v>11</v>
      </c>
      <c r="D56" s="59" t="inlineStr">
        <is>
          <t>Total Outstanding Principal</t>
        </is>
      </c>
    </row>
    <row r="57" ht="15" customHeight="1">
      <c r="A57" s="57" t="inlineStr">
        <is>
          <t>OLAP</t>
        </is>
      </c>
      <c r="B57" s="59" t="inlineStr">
        <is>
          <t>Borrowers with Outstanding Loans</t>
        </is>
      </c>
      <c r="C57" s="57" t="n">
        <v>12</v>
      </c>
      <c r="D57" s="59" t="inlineStr">
        <is>
          <t>Header - Active Loans</t>
        </is>
      </c>
    </row>
    <row r="58" ht="15" customHeight="1">
      <c r="A58" s="57" t="inlineStr">
        <is>
          <t>OLAP</t>
        </is>
      </c>
      <c r="B58" s="59" t="inlineStr">
        <is>
          <t>Borrowers with Outstanding Loans</t>
        </is>
      </c>
      <c r="C58" s="57" t="n">
        <v>13</v>
      </c>
      <c r="D58" s="59" t="inlineStr">
        <is>
          <t>Borrower Name TE</t>
        </is>
      </c>
    </row>
    <row r="59" ht="15" customHeight="1">
      <c r="A59" s="57" t="inlineStr">
        <is>
          <t>OLAP</t>
        </is>
      </c>
      <c r="B59" s="59" t="inlineStr">
        <is>
          <t>Borrowers with Outstanding Loans</t>
        </is>
      </c>
      <c r="C59" s="57" t="n">
        <v>14</v>
      </c>
      <c r="D59" s="59" t="inlineStr">
        <is>
          <t>Return on Active Principal</t>
        </is>
      </c>
    </row>
    <row r="60" ht="15" customHeight="1">
      <c r="A60" s="57" t="inlineStr">
        <is>
          <t>OLAP</t>
        </is>
      </c>
      <c r="B60" s="59" t="inlineStr">
        <is>
          <t>Borrowers with Outstanding Loans</t>
        </is>
      </c>
      <c r="C60" s="57" t="n">
        <v>15</v>
      </c>
      <c r="D60" s="59" t="inlineStr">
        <is>
          <t>Profit Last 30 Days</t>
        </is>
      </c>
    </row>
    <row r="61" ht="15" customHeight="1">
      <c r="A61" s="57" t="inlineStr">
        <is>
          <t>OLAP</t>
        </is>
      </c>
      <c r="B61" s="59" t="inlineStr">
        <is>
          <t>Borrowers with Outstanding Loans</t>
        </is>
      </c>
      <c r="C61" s="57" t="n">
        <v>16</v>
      </c>
      <c r="D61" s="59" t="inlineStr">
        <is>
          <t>Projected Interest Coverage Date</t>
        </is>
      </c>
    </row>
    <row r="62" ht="15" customHeight="1">
      <c r="A62" s="57" t="inlineStr">
        <is>
          <t>OLAP</t>
        </is>
      </c>
      <c r="B62" s="59" t="inlineStr">
        <is>
          <t>Borrowers with Outstanding Loans</t>
        </is>
      </c>
      <c r="C62" s="57" t="n">
        <v>17</v>
      </c>
      <c r="D62" s="59" t="inlineStr">
        <is>
          <t>Active Loan Interest Earned</t>
        </is>
      </c>
    </row>
    <row r="63" ht="15" customHeight="1">
      <c r="A63" s="57" t="inlineStr">
        <is>
          <t>OLAP</t>
        </is>
      </c>
      <c r="B63" s="59" t="inlineStr">
        <is>
          <t>Borrowers with Outstanding Loans</t>
        </is>
      </c>
      <c r="C63" s="57" t="n">
        <v>18</v>
      </c>
      <c r="D63" s="59" t="inlineStr">
        <is>
          <t>Active Daily Interest</t>
        </is>
      </c>
    </row>
    <row r="64" ht="15" customHeight="1">
      <c r="A64" s="57" t="inlineStr">
        <is>
          <t>OLAP</t>
        </is>
      </c>
      <c r="B64" s="59" t="inlineStr">
        <is>
          <t>Borrowers with Outstanding Loans</t>
        </is>
      </c>
      <c r="C64" s="57" t="n">
        <v>19</v>
      </c>
      <c r="D64" s="59" t="inlineStr">
        <is>
          <t>Related Loan Assessments</t>
        </is>
      </c>
    </row>
    <row r="65" ht="15" customHeight="1">
      <c r="A65" s="57" t="inlineStr">
        <is>
          <t>OLAP</t>
        </is>
      </c>
      <c r="B65" s="59" t="inlineStr">
        <is>
          <t>Borrowers with Outstanding Loans</t>
        </is>
      </c>
      <c r="C65" s="57" t="n">
        <v>20</v>
      </c>
      <c r="D65" s="59" t="inlineStr">
        <is>
          <t>Related Calendars</t>
        </is>
      </c>
    </row>
    <row r="66" ht="15" customHeight="1">
      <c r="A66" s="57" t="inlineStr">
        <is>
          <t>OLAP</t>
        </is>
      </c>
      <c r="B66" s="59" t="inlineStr">
        <is>
          <t>Borrowers with Outstanding Loans</t>
        </is>
      </c>
      <c r="C66" s="57" t="n">
        <v>21</v>
      </c>
      <c r="D66" s="59" t="inlineStr">
        <is>
          <t>Closed Loan Interest Earned</t>
        </is>
      </c>
    </row>
    <row r="67" ht="15" customHeight="1">
      <c r="A67" s="57" t="inlineStr">
        <is>
          <t>OLAP</t>
        </is>
      </c>
      <c r="B67" s="59" t="inlineStr">
        <is>
          <t>Borrowers with Outstanding Loans</t>
        </is>
      </c>
      <c r="C67" s="57" t="n">
        <v>22</v>
      </c>
      <c r="D67" s="59" t="inlineStr">
        <is>
          <t>Closed Loan Principle</t>
        </is>
      </c>
    </row>
    <row r="68" ht="15" customHeight="1">
      <c r="A68" s="57" t="inlineStr">
        <is>
          <t>OLAP</t>
        </is>
      </c>
      <c r="B68" s="59" t="inlineStr">
        <is>
          <t>Borrowers with Outstanding Loans</t>
        </is>
      </c>
      <c r="C68" s="57" t="n">
        <v>23</v>
      </c>
      <c r="D68" s="59" t="inlineStr">
        <is>
          <t>Has Closed Loan</t>
        </is>
      </c>
    </row>
    <row r="69" ht="15" customHeight="1">
      <c r="A69" s="57" t="inlineStr">
        <is>
          <t>OLAP</t>
        </is>
      </c>
      <c r="B69" s="59" t="inlineStr">
        <is>
          <t>Borrowers with Outstanding Loans</t>
        </is>
      </c>
      <c r="C69" s="57" t="n">
        <v>24</v>
      </c>
      <c r="D69" s="59" t="inlineStr">
        <is>
          <t>Return on Closed Loans</t>
        </is>
      </c>
    </row>
    <row r="70" ht="15" customHeight="1">
      <c r="A70" s="57" t="inlineStr">
        <is>
          <t>OLAP</t>
        </is>
      </c>
      <c r="B70" s="59" t="inlineStr">
        <is>
          <t>Borrowers with Outstanding Loans</t>
        </is>
      </c>
      <c r="C70" s="57" t="n">
        <v>25</v>
      </c>
      <c r="D70" s="59" t="inlineStr">
        <is>
          <t>Header - Closed Loans</t>
        </is>
      </c>
    </row>
    <row r="71" ht="15" customHeight="1">
      <c r="A71" s="57" t="inlineStr">
        <is>
          <t>OLAP</t>
        </is>
      </c>
      <c r="B71" s="59" t="inlineStr">
        <is>
          <t>Borrowers with Outstanding Loans</t>
        </is>
      </c>
      <c r="C71" s="57" t="n">
        <v>26</v>
      </c>
      <c r="D71" s="59" t="inlineStr">
        <is>
          <t>Has Active Loan</t>
        </is>
      </c>
    </row>
    <row r="72" ht="15" customHeight="1">
      <c r="A72" s="57" t="inlineStr">
        <is>
          <t>OLAP</t>
        </is>
      </c>
      <c r="B72" s="59" t="inlineStr">
        <is>
          <t>Borrowers with Outstanding Loans</t>
        </is>
      </c>
      <c r="C72" s="57" t="n">
        <v>27</v>
      </c>
      <c r="D72" s="59" t="inlineStr">
        <is>
          <t>30D Gross Principal Days</t>
        </is>
      </c>
    </row>
    <row r="73" ht="15" customHeight="1">
      <c r="A73" s="57" t="inlineStr">
        <is>
          <t>OLAP</t>
        </is>
      </c>
      <c r="B73" s="59" t="inlineStr">
        <is>
          <t>Borrowers with Outstanding Loans</t>
        </is>
      </c>
      <c r="C73" s="57" t="n">
        <v>28</v>
      </c>
      <c r="D73" s="59" t="inlineStr">
        <is>
          <t>30D Principal Reduction Days</t>
        </is>
      </c>
    </row>
    <row r="74" ht="15" customHeight="1">
      <c r="A74" s="57" t="inlineStr">
        <is>
          <t>OLAP</t>
        </is>
      </c>
      <c r="B74" s="59" t="inlineStr">
        <is>
          <t>Borrowers with Outstanding Loans</t>
        </is>
      </c>
      <c r="C74" s="57" t="n">
        <v>29</v>
      </c>
      <c r="D74" s="59" t="inlineStr">
        <is>
          <t>30D Average Outstanding Principal</t>
        </is>
      </c>
    </row>
    <row r="75" ht="15" customHeight="1">
      <c r="A75" s="57" t="inlineStr">
        <is>
          <t>OLAP</t>
        </is>
      </c>
      <c r="B75" s="59" t="inlineStr">
        <is>
          <t>Borrowers with Outstanding Loans</t>
        </is>
      </c>
      <c r="C75" s="57" t="n">
        <v>30</v>
      </c>
      <c r="D75" s="59" t="inlineStr">
        <is>
          <t>30D Return on Average Principal</t>
        </is>
      </c>
    </row>
    <row r="76" ht="15" customHeight="1">
      <c r="A76" s="57" t="inlineStr">
        <is>
          <t>OLAP</t>
        </is>
      </c>
      <c r="B76" s="59" t="inlineStr">
        <is>
          <t>Borrowers with Outstanding Loans</t>
        </is>
      </c>
      <c r="C76" s="57" t="n">
        <v>31</v>
      </c>
      <c r="D76" s="59" t="inlineStr">
        <is>
          <t>Daily Collection Status</t>
        </is>
      </c>
    </row>
    <row r="77" ht="15" customHeight="1">
      <c r="A77" s="57" t="inlineStr">
        <is>
          <t>OLAP</t>
        </is>
      </c>
      <c r="B77" s="59" t="inlineStr">
        <is>
          <t>Borrowers with Outstanding Loans</t>
        </is>
      </c>
      <c r="C77" s="57" t="n">
        <v>32</v>
      </c>
      <c r="D77" s="59" t="inlineStr">
        <is>
          <t>Todays Collection Charges</t>
        </is>
      </c>
    </row>
    <row r="78" ht="15" customHeight="1">
      <c r="A78" s="57" t="inlineStr">
        <is>
          <t>OLAP</t>
        </is>
      </c>
      <c r="B78" s="59" t="inlineStr">
        <is>
          <t>Borrowers with Outstanding Loans</t>
        </is>
      </c>
      <c r="C78" s="57" t="n">
        <v>33</v>
      </c>
      <c r="D78" s="59" t="inlineStr">
        <is>
          <t>Todays Amount Due</t>
        </is>
      </c>
    </row>
    <row r="79" ht="15" customHeight="1">
      <c r="A79" s="57" t="inlineStr">
        <is>
          <t>OLAP</t>
        </is>
      </c>
      <c r="B79" s="59" t="inlineStr">
        <is>
          <t>Borrowers with Outstanding Loans</t>
        </is>
      </c>
      <c r="C79" s="57" t="n">
        <v>34</v>
      </c>
      <c r="D79" s="59" t="inlineStr">
        <is>
          <t>Todays Amount Collected</t>
        </is>
      </c>
    </row>
    <row r="80" ht="15" customHeight="1">
      <c r="A80" s="57" t="inlineStr">
        <is>
          <t>OLAP</t>
        </is>
      </c>
      <c r="B80" s="59" t="inlineStr">
        <is>
          <t>Borrowers with Outstanding Loans</t>
        </is>
      </c>
      <c r="C80" s="57" t="n">
        <v>35</v>
      </c>
      <c r="D80" s="59" t="inlineStr">
        <is>
          <t>Todays Amount Remaining</t>
        </is>
      </c>
    </row>
    <row r="81" ht="15" customHeight="1">
      <c r="A81" s="57" t="inlineStr">
        <is>
          <t>OLAP</t>
        </is>
      </c>
      <c r="B81" s="59" t="inlineStr">
        <is>
          <t>Borrowers with Outstanding Loans</t>
        </is>
      </c>
      <c r="C81" s="57" t="n">
        <v>36</v>
      </c>
      <c r="D81" s="59" t="inlineStr">
        <is>
          <t>Portfolio Exposure %</t>
        </is>
      </c>
    </row>
    <row r="82" ht="15" customHeight="1">
      <c r="A82" s="57" t="inlineStr">
        <is>
          <t>OLAP</t>
        </is>
      </c>
      <c r="B82" s="59" t="inlineStr">
        <is>
          <t>Borrowers with Outstanding Loans</t>
        </is>
      </c>
      <c r="C82" s="57" t="n">
        <v>37</v>
      </c>
      <c r="D82" s="59" t="inlineStr">
        <is>
          <t>Active Loan Count</t>
        </is>
      </c>
    </row>
    <row r="83" ht="15" customHeight="1">
      <c r="A83" s="57" t="inlineStr">
        <is>
          <t>OLAP</t>
        </is>
      </c>
      <c r="B83" s="59" t="inlineStr">
        <is>
          <t>Borrowers with Outstanding Loans</t>
        </is>
      </c>
      <c r="C83" s="57" t="n">
        <v>38</v>
      </c>
      <c r="D83" s="59" t="inlineStr">
        <is>
          <t>Oldest Active Loan Age</t>
        </is>
      </c>
    </row>
    <row r="84" ht="15" customHeight="1">
      <c r="A84" s="57" t="inlineStr">
        <is>
          <t>OLAP</t>
        </is>
      </c>
      <c r="B84" s="59" t="inlineStr">
        <is>
          <t>Borrowers with Outstanding Loans</t>
        </is>
      </c>
      <c r="C84" s="57" t="n">
        <v>39</v>
      </c>
      <c r="D84" s="59" t="inlineStr">
        <is>
          <t>Overdue Amount</t>
        </is>
      </c>
    </row>
    <row r="85" ht="15" customHeight="1">
      <c r="A85" s="57" t="inlineStr">
        <is>
          <t>OLAP</t>
        </is>
      </c>
      <c r="B85" s="59" t="inlineStr">
        <is>
          <t>Borrowers with Outstanding Loans</t>
        </is>
      </c>
      <c r="C85" s="57" t="n">
        <v>40</v>
      </c>
      <c r="D85" s="59" t="inlineStr">
        <is>
          <t>Overdue Charge Count</t>
        </is>
      </c>
    </row>
    <row r="86" ht="15" customHeight="1">
      <c r="A86" s="57" t="inlineStr">
        <is>
          <t>OLAP</t>
        </is>
      </c>
      <c r="B86" s="59" t="inlineStr">
        <is>
          <t>Borrowers with Outstanding Loans</t>
        </is>
      </c>
      <c r="C86" s="57" t="n">
        <v>41</v>
      </c>
      <c r="D86" s="59" t="inlineStr">
        <is>
          <t>Historical Charge Count</t>
        </is>
      </c>
    </row>
    <row r="87" ht="15" customHeight="1">
      <c r="A87" s="57" t="inlineStr">
        <is>
          <t>OLAP</t>
        </is>
      </c>
      <c r="B87" s="59" t="inlineStr">
        <is>
          <t>Borrowers with Outstanding Loans</t>
        </is>
      </c>
      <c r="C87" s="57" t="n">
        <v>42</v>
      </c>
      <c r="D87" s="59" t="inlineStr">
        <is>
          <t>On Time Charge Count</t>
        </is>
      </c>
    </row>
    <row r="88" ht="15" customHeight="1">
      <c r="A88" s="57" t="inlineStr">
        <is>
          <t>OLAP</t>
        </is>
      </c>
      <c r="B88" s="59" t="inlineStr">
        <is>
          <t>Borrowers with Outstanding Loans</t>
        </is>
      </c>
      <c r="C88" s="57" t="n">
        <v>43</v>
      </c>
      <c r="D88" s="59" t="inlineStr">
        <is>
          <t>Lifetime On Time Rate</t>
        </is>
      </c>
    </row>
    <row r="89" ht="15" customHeight="1">
      <c r="A89" s="57" t="inlineStr">
        <is>
          <t>OLAP</t>
        </is>
      </c>
      <c r="B89" s="59" t="inlineStr">
        <is>
          <t>Borrowers with Outstanding Loans</t>
        </is>
      </c>
      <c r="C89" s="57" t="n">
        <v>44</v>
      </c>
      <c r="D89" s="59" t="inlineStr">
        <is>
          <t>Recent 30D Charge Count</t>
        </is>
      </c>
    </row>
    <row r="90" ht="15" customHeight="1">
      <c r="A90" s="57" t="inlineStr">
        <is>
          <t>OLAP</t>
        </is>
      </c>
      <c r="B90" s="59" t="inlineStr">
        <is>
          <t>Borrowers with Outstanding Loans</t>
        </is>
      </c>
      <c r="C90" s="57" t="n">
        <v>45</v>
      </c>
      <c r="D90" s="59" t="inlineStr">
        <is>
          <t>Recent 30D On Time Count</t>
        </is>
      </c>
    </row>
    <row r="91" ht="15" customHeight="1">
      <c r="A91" s="57" t="inlineStr">
        <is>
          <t>OLAP</t>
        </is>
      </c>
      <c r="B91" s="59" t="inlineStr">
        <is>
          <t>Borrowers with Outstanding Loans</t>
        </is>
      </c>
      <c r="C91" s="57" t="n">
        <v>46</v>
      </c>
      <c r="D91" s="59" t="inlineStr">
        <is>
          <t>Recent 30D On Time Rate</t>
        </is>
      </c>
    </row>
    <row r="92" ht="15" customHeight="1">
      <c r="A92" s="57" t="inlineStr">
        <is>
          <t>OLAP</t>
        </is>
      </c>
      <c r="B92" s="59" t="inlineStr">
        <is>
          <t>Borrowers with Outstanding Loans</t>
        </is>
      </c>
      <c r="C92" s="57" t="n">
        <v>47</v>
      </c>
      <c r="D92" s="59" t="inlineStr">
        <is>
          <t>Lifetime Late Payment Count</t>
        </is>
      </c>
    </row>
    <row r="93" ht="15" customHeight="1">
      <c r="A93" s="57" t="inlineStr">
        <is>
          <t>OLAP</t>
        </is>
      </c>
      <c r="B93" s="59" t="inlineStr">
        <is>
          <t>Borrowers with Outstanding Loans</t>
        </is>
      </c>
      <c r="C93" s="57" t="n">
        <v>48</v>
      </c>
      <c r="D93" s="59" t="inlineStr">
        <is>
          <t>Recent 30D Late Payment Count</t>
        </is>
      </c>
    </row>
    <row r="94" ht="15" customHeight="1">
      <c r="A94" s="57" t="inlineStr">
        <is>
          <t>OLAP</t>
        </is>
      </c>
      <c r="B94" s="59" t="inlineStr">
        <is>
          <t>Borrowers with Outstanding Loans</t>
        </is>
      </c>
      <c r="C94" s="57" t="n">
        <v>49</v>
      </c>
      <c r="D94" s="59" t="inlineStr">
        <is>
          <t>Maximum Days Late</t>
        </is>
      </c>
    </row>
    <row r="95" ht="15" customHeight="1">
      <c r="A95" s="57" t="inlineStr">
        <is>
          <t>OLAP</t>
        </is>
      </c>
      <c r="B95" s="59" t="inlineStr">
        <is>
          <t>Borrowers with Outstanding Loans</t>
        </is>
      </c>
      <c r="C95" s="57" t="n">
        <v>50</v>
      </c>
      <c r="D95" s="59" t="inlineStr">
        <is>
          <t>Last Late Payment Date</t>
        </is>
      </c>
    </row>
    <row r="96" ht="15" customHeight="1">
      <c r="A96" s="57" t="inlineStr">
        <is>
          <t>OLAP</t>
        </is>
      </c>
      <c r="B96" s="59" t="inlineStr">
        <is>
          <t>Borrowers with Outstanding Loans</t>
        </is>
      </c>
      <c r="C96" s="57" t="n">
        <v>51</v>
      </c>
      <c r="D96" s="59" t="inlineStr">
        <is>
          <t>Largest Successful Loan</t>
        </is>
      </c>
    </row>
    <row r="97" ht="15" customHeight="1">
      <c r="A97" s="57" t="inlineStr">
        <is>
          <t>OLAP</t>
        </is>
      </c>
      <c r="B97" s="59" t="inlineStr">
        <is>
          <t>Borrowers with Outstanding Loans</t>
        </is>
      </c>
      <c r="C97" s="57" t="n">
        <v>52</v>
      </c>
      <c r="D97" s="59" t="inlineStr">
        <is>
          <t>Average Successful Loan Size</t>
        </is>
      </c>
    </row>
    <row r="98" ht="15" customHeight="1">
      <c r="A98" s="57" t="inlineStr">
        <is>
          <t>OLAP</t>
        </is>
      </c>
      <c r="B98" s="59" t="inlineStr">
        <is>
          <t>Borrowers with Outstanding Loans</t>
        </is>
      </c>
      <c r="C98" s="57" t="n">
        <v>53</v>
      </c>
      <c r="D98" s="59" t="inlineStr">
        <is>
          <t>Default Count</t>
        </is>
      </c>
    </row>
    <row r="99" ht="15" customHeight="1">
      <c r="A99" s="57" t="inlineStr">
        <is>
          <t>OLAP</t>
        </is>
      </c>
      <c r="B99" s="59" t="inlineStr">
        <is>
          <t>Borrowers with Outstanding Loans</t>
        </is>
      </c>
      <c r="C99" s="57" t="n">
        <v>54</v>
      </c>
      <c r="D99" s="59" t="inlineStr">
        <is>
          <t>Lifetime Default Loss</t>
        </is>
      </c>
    </row>
    <row r="100" ht="15" customHeight="1">
      <c r="A100" s="57" t="inlineStr">
        <is>
          <t>OLAP</t>
        </is>
      </c>
      <c r="B100" s="59" t="inlineStr">
        <is>
          <t>Borrowers with Outstanding Loans</t>
        </is>
      </c>
      <c r="C100" s="57" t="n">
        <v>55</v>
      </c>
      <c r="D100" s="59" t="inlineStr">
        <is>
          <t>Portfolio Outstanding Principal</t>
        </is>
      </c>
    </row>
    <row r="101" ht="15" customHeight="1">
      <c r="A101" s="57" t="inlineStr">
        <is>
          <t>OLAP</t>
        </is>
      </c>
      <c r="B101" s="59" t="inlineStr">
        <is>
          <t>Borrowers with Outstanding Loans</t>
        </is>
      </c>
      <c r="C101" s="57" t="n">
        <v>56</v>
      </c>
      <c r="D101" s="59" t="inlineStr">
        <is>
          <t>Portfolio Share Join Key</t>
        </is>
      </c>
    </row>
    <row r="102" ht="15" customHeight="1">
      <c r="A102" s="57" t="inlineStr">
        <is>
          <t>OLAP</t>
        </is>
      </c>
      <c r="B102" s="59" t="inlineStr">
        <is>
          <t>Profit Contribution 30D</t>
        </is>
      </c>
      <c r="C102" s="57" t="n">
        <v>1</v>
      </c>
      <c r="D102" s="59" t="inlineStr">
        <is>
          <t>_RowNumber</t>
        </is>
      </c>
    </row>
    <row r="103" ht="15" customHeight="1">
      <c r="A103" s="57" t="inlineStr">
        <is>
          <t>OLAP</t>
        </is>
      </c>
      <c r="B103" s="59" t="inlineStr">
        <is>
          <t>Profit Contribution 30D</t>
        </is>
      </c>
      <c r="C103" s="57" t="n">
        <v>2</v>
      </c>
      <c r="D103" s="59" t="inlineStr">
        <is>
          <t>Row ID</t>
        </is>
      </c>
    </row>
    <row r="104" ht="15" customHeight="1">
      <c r="A104" s="57" t="inlineStr">
        <is>
          <t>OLAP</t>
        </is>
      </c>
      <c r="B104" s="59" t="inlineStr">
        <is>
          <t>Profit Contribution 30D</t>
        </is>
      </c>
      <c r="C104" s="57" t="n">
        <v>3</v>
      </c>
      <c r="D104" s="59" t="inlineStr">
        <is>
          <t>Borrower Name</t>
        </is>
      </c>
    </row>
    <row r="105" ht="15" customHeight="1">
      <c r="A105" s="57" t="inlineStr">
        <is>
          <t>OLAP</t>
        </is>
      </c>
      <c r="B105" s="59" t="inlineStr">
        <is>
          <t>Profit Contribution 30D</t>
        </is>
      </c>
      <c r="C105" s="57" t="n">
        <v>4</v>
      </c>
      <c r="D105" s="59" t="inlineStr">
        <is>
          <t>Telephone</t>
        </is>
      </c>
    </row>
    <row r="106" ht="15" customHeight="1">
      <c r="A106" s="57" t="inlineStr">
        <is>
          <t>OLAP</t>
        </is>
      </c>
      <c r="B106" s="59" t="inlineStr">
        <is>
          <t>Profit Contribution 30D</t>
        </is>
      </c>
      <c r="C106" s="57" t="n">
        <v>5</v>
      </c>
      <c r="D106" s="59" t="inlineStr">
        <is>
          <t>Description</t>
        </is>
      </c>
    </row>
    <row r="107" ht="15" customHeight="1">
      <c r="A107" s="57" t="inlineStr">
        <is>
          <t>OLAP</t>
        </is>
      </c>
      <c r="B107" s="59" t="inlineStr">
        <is>
          <t>Profit Contribution 30D</t>
        </is>
      </c>
      <c r="C107" s="57" t="n">
        <v>6</v>
      </c>
      <c r="D107" s="59" t="inlineStr">
        <is>
          <t>Creation Date</t>
        </is>
      </c>
    </row>
    <row r="108" ht="15" customHeight="1">
      <c r="A108" s="57" t="inlineStr">
        <is>
          <t>OLAP</t>
        </is>
      </c>
      <c r="B108" s="59" t="inlineStr">
        <is>
          <t>Profit Contribution 30D</t>
        </is>
      </c>
      <c r="C108" s="57" t="n">
        <v>7</v>
      </c>
      <c r="D108" s="59" t="inlineStr">
        <is>
          <t>Related Loans</t>
        </is>
      </c>
    </row>
    <row r="109" ht="15" customHeight="1">
      <c r="A109" s="57" t="inlineStr">
        <is>
          <t>OLAP</t>
        </is>
      </c>
      <c r="B109" s="59" t="inlineStr">
        <is>
          <t>Profit Contribution 30D</t>
        </is>
      </c>
      <c r="C109" s="57" t="n">
        <v>8</v>
      </c>
      <c r="D109" s="59" t="inlineStr">
        <is>
          <t>Total Interest Earned</t>
        </is>
      </c>
    </row>
    <row r="110" ht="15" customHeight="1">
      <c r="A110" s="57" t="inlineStr">
        <is>
          <t>OLAP</t>
        </is>
      </c>
      <c r="B110" s="59" t="inlineStr">
        <is>
          <t>Profit Contribution 30D</t>
        </is>
      </c>
      <c r="C110" s="57" t="n">
        <v>9</v>
      </c>
      <c r="D110" s="59" t="inlineStr">
        <is>
          <t>Total Amount Loaned</t>
        </is>
      </c>
    </row>
    <row r="111" ht="15" customHeight="1">
      <c r="A111" s="57" t="inlineStr">
        <is>
          <t>OLAP</t>
        </is>
      </c>
      <c r="B111" s="59" t="inlineStr">
        <is>
          <t>Profit Contribution 30D</t>
        </is>
      </c>
      <c r="C111" s="57" t="n">
        <v>10</v>
      </c>
      <c r="D111" s="59" t="inlineStr">
        <is>
          <t>Total Number of Loans</t>
        </is>
      </c>
    </row>
    <row r="112" ht="15" customHeight="1">
      <c r="A112" s="57" t="inlineStr">
        <is>
          <t>OLAP</t>
        </is>
      </c>
      <c r="B112" s="59" t="inlineStr">
        <is>
          <t>Profit Contribution 30D</t>
        </is>
      </c>
      <c r="C112" s="57" t="n">
        <v>11</v>
      </c>
      <c r="D112" s="59" t="inlineStr">
        <is>
          <t>Total Outstanding Principal</t>
        </is>
      </c>
    </row>
    <row r="113" ht="15" customHeight="1">
      <c r="A113" s="57" t="inlineStr">
        <is>
          <t>OLAP</t>
        </is>
      </c>
      <c r="B113" s="59" t="inlineStr">
        <is>
          <t>Profit Contribution 30D</t>
        </is>
      </c>
      <c r="C113" s="57" t="n">
        <v>12</v>
      </c>
      <c r="D113" s="59" t="inlineStr">
        <is>
          <t>Header - Active Loans</t>
        </is>
      </c>
    </row>
    <row r="114" ht="15" customHeight="1">
      <c r="A114" s="57" t="inlineStr">
        <is>
          <t>OLAP</t>
        </is>
      </c>
      <c r="B114" s="59" t="inlineStr">
        <is>
          <t>Profit Contribution 30D</t>
        </is>
      </c>
      <c r="C114" s="57" t="n">
        <v>13</v>
      </c>
      <c r="D114" s="59" t="inlineStr">
        <is>
          <t>Borrower Name TE</t>
        </is>
      </c>
    </row>
    <row r="115" ht="15" customHeight="1">
      <c r="A115" s="57" t="inlineStr">
        <is>
          <t>OLAP</t>
        </is>
      </c>
      <c r="B115" s="59" t="inlineStr">
        <is>
          <t>Profit Contribution 30D</t>
        </is>
      </c>
      <c r="C115" s="57" t="n">
        <v>14</v>
      </c>
      <c r="D115" s="59" t="inlineStr">
        <is>
          <t>Return on Active Principal</t>
        </is>
      </c>
    </row>
    <row r="116" ht="15" customHeight="1">
      <c r="A116" s="57" t="inlineStr">
        <is>
          <t>OLAP</t>
        </is>
      </c>
      <c r="B116" s="59" t="inlineStr">
        <is>
          <t>Profit Contribution 30D</t>
        </is>
      </c>
      <c r="C116" s="57" t="n">
        <v>15</v>
      </c>
      <c r="D116" s="59" t="inlineStr">
        <is>
          <t>Profit Last 30 Days</t>
        </is>
      </c>
    </row>
    <row r="117" ht="15" customHeight="1">
      <c r="A117" s="57" t="inlineStr">
        <is>
          <t>OLAP</t>
        </is>
      </c>
      <c r="B117" s="59" t="inlineStr">
        <is>
          <t>Profit Contribution 30D</t>
        </is>
      </c>
      <c r="C117" s="57" t="n">
        <v>16</v>
      </c>
      <c r="D117" s="59" t="inlineStr">
        <is>
          <t>Projected Interest Coverage Date</t>
        </is>
      </c>
    </row>
    <row r="118" ht="15" customHeight="1">
      <c r="A118" s="57" t="inlineStr">
        <is>
          <t>OLAP</t>
        </is>
      </c>
      <c r="B118" s="59" t="inlineStr">
        <is>
          <t>Profit Contribution 30D</t>
        </is>
      </c>
      <c r="C118" s="57" t="n">
        <v>17</v>
      </c>
      <c r="D118" s="59" t="inlineStr">
        <is>
          <t>Active Loan Interest Earned</t>
        </is>
      </c>
    </row>
    <row r="119" ht="15" customHeight="1">
      <c r="A119" s="57" t="inlineStr">
        <is>
          <t>OLAP</t>
        </is>
      </c>
      <c r="B119" s="59" t="inlineStr">
        <is>
          <t>Profit Contribution 30D</t>
        </is>
      </c>
      <c r="C119" s="57" t="n">
        <v>18</v>
      </c>
      <c r="D119" s="59" t="inlineStr">
        <is>
          <t>Active Daily Interest</t>
        </is>
      </c>
    </row>
    <row r="120" ht="15" customHeight="1">
      <c r="A120" s="57" t="inlineStr">
        <is>
          <t>OLAP</t>
        </is>
      </c>
      <c r="B120" s="59" t="inlineStr">
        <is>
          <t>Profit Contribution 30D</t>
        </is>
      </c>
      <c r="C120" s="57" t="n">
        <v>19</v>
      </c>
      <c r="D120" s="59" t="inlineStr">
        <is>
          <t>Related Loan Assessments</t>
        </is>
      </c>
    </row>
    <row r="121" ht="15" customHeight="1">
      <c r="A121" s="57" t="inlineStr">
        <is>
          <t>OLAP</t>
        </is>
      </c>
      <c r="B121" s="59" t="inlineStr">
        <is>
          <t>Profit Contribution 30D</t>
        </is>
      </c>
      <c r="C121" s="57" t="n">
        <v>20</v>
      </c>
      <c r="D121" s="59" t="inlineStr">
        <is>
          <t>Related Calendars</t>
        </is>
      </c>
    </row>
    <row r="122" ht="15" customHeight="1">
      <c r="A122" s="57" t="inlineStr">
        <is>
          <t>OLAP</t>
        </is>
      </c>
      <c r="B122" s="59" t="inlineStr">
        <is>
          <t>Profit Contribution 30D</t>
        </is>
      </c>
      <c r="C122" s="57" t="n">
        <v>21</v>
      </c>
      <c r="D122" s="59" t="inlineStr">
        <is>
          <t>Closed Loan Interest Earned</t>
        </is>
      </c>
    </row>
    <row r="123" ht="15" customHeight="1">
      <c r="A123" s="57" t="inlineStr">
        <is>
          <t>OLAP</t>
        </is>
      </c>
      <c r="B123" s="59" t="inlineStr">
        <is>
          <t>Profit Contribution 30D</t>
        </is>
      </c>
      <c r="C123" s="57" t="n">
        <v>22</v>
      </c>
      <c r="D123" s="59" t="inlineStr">
        <is>
          <t>Closed Loan Principle</t>
        </is>
      </c>
    </row>
    <row r="124" ht="15" customHeight="1">
      <c r="A124" s="57" t="inlineStr">
        <is>
          <t>OLAP</t>
        </is>
      </c>
      <c r="B124" s="59" t="inlineStr">
        <is>
          <t>Profit Contribution 30D</t>
        </is>
      </c>
      <c r="C124" s="57" t="n">
        <v>23</v>
      </c>
      <c r="D124" s="59" t="inlineStr">
        <is>
          <t>Has Closed Loan</t>
        </is>
      </c>
    </row>
    <row r="125" ht="15" customHeight="1">
      <c r="A125" s="57" t="inlineStr">
        <is>
          <t>OLAP</t>
        </is>
      </c>
      <c r="B125" s="59" t="inlineStr">
        <is>
          <t>Profit Contribution 30D</t>
        </is>
      </c>
      <c r="C125" s="57" t="n">
        <v>24</v>
      </c>
      <c r="D125" s="59" t="inlineStr">
        <is>
          <t>Return on Closed Loans</t>
        </is>
      </c>
    </row>
    <row r="126" ht="15" customHeight="1">
      <c r="A126" s="57" t="inlineStr">
        <is>
          <t>OLAP</t>
        </is>
      </c>
      <c r="B126" s="59" t="inlineStr">
        <is>
          <t>Profit Contribution 30D</t>
        </is>
      </c>
      <c r="C126" s="57" t="n">
        <v>25</v>
      </c>
      <c r="D126" s="59" t="inlineStr">
        <is>
          <t>Header - Closed Loans</t>
        </is>
      </c>
    </row>
    <row r="127" ht="15" customHeight="1">
      <c r="A127" s="57" t="inlineStr">
        <is>
          <t>OLAP</t>
        </is>
      </c>
      <c r="B127" s="59" t="inlineStr">
        <is>
          <t>Profit Contribution 30D</t>
        </is>
      </c>
      <c r="C127" s="57" t="n">
        <v>26</v>
      </c>
      <c r="D127" s="59" t="inlineStr">
        <is>
          <t>Has Active Loan</t>
        </is>
      </c>
    </row>
    <row r="128" ht="15" customHeight="1">
      <c r="A128" s="57" t="inlineStr">
        <is>
          <t>OLAP</t>
        </is>
      </c>
      <c r="B128" s="59" t="inlineStr">
        <is>
          <t>Profit Contribution 30D</t>
        </is>
      </c>
      <c r="C128" s="57" t="n">
        <v>27</v>
      </c>
      <c r="D128" s="59" t="inlineStr">
        <is>
          <t>30D Gross Principal Days</t>
        </is>
      </c>
    </row>
    <row r="129" ht="15" customHeight="1">
      <c r="A129" s="57" t="inlineStr">
        <is>
          <t>OLAP</t>
        </is>
      </c>
      <c r="B129" s="59" t="inlineStr">
        <is>
          <t>Profit Contribution 30D</t>
        </is>
      </c>
      <c r="C129" s="57" t="n">
        <v>28</v>
      </c>
      <c r="D129" s="59" t="inlineStr">
        <is>
          <t>30D Principal Reduction Days</t>
        </is>
      </c>
    </row>
    <row r="130" ht="15" customHeight="1">
      <c r="A130" s="57" t="inlineStr">
        <is>
          <t>OLAP</t>
        </is>
      </c>
      <c r="B130" s="59" t="inlineStr">
        <is>
          <t>Profit Contribution 30D</t>
        </is>
      </c>
      <c r="C130" s="57" t="n">
        <v>29</v>
      </c>
      <c r="D130" s="59" t="inlineStr">
        <is>
          <t>30D Average Outstanding Principal</t>
        </is>
      </c>
    </row>
    <row r="131" ht="15" customHeight="1">
      <c r="A131" s="57" t="inlineStr">
        <is>
          <t>OLAP</t>
        </is>
      </c>
      <c r="B131" s="59" t="inlineStr">
        <is>
          <t>Profit Contribution 30D</t>
        </is>
      </c>
      <c r="C131" s="57" t="n">
        <v>30</v>
      </c>
      <c r="D131" s="59" t="inlineStr">
        <is>
          <t>30D Return on Average Principal</t>
        </is>
      </c>
    </row>
    <row r="132" ht="15" customHeight="1">
      <c r="A132" s="57" t="inlineStr">
        <is>
          <t>OLAP</t>
        </is>
      </c>
      <c r="B132" s="59" t="inlineStr">
        <is>
          <t>Profit Contribution 30D</t>
        </is>
      </c>
      <c r="C132" s="57" t="n">
        <v>31</v>
      </c>
      <c r="D132" s="59" t="inlineStr">
        <is>
          <t>Daily Collection Status</t>
        </is>
      </c>
    </row>
    <row r="133" ht="15" customHeight="1">
      <c r="A133" s="57" t="inlineStr">
        <is>
          <t>OLAP</t>
        </is>
      </c>
      <c r="B133" s="59" t="inlineStr">
        <is>
          <t>Profit Contribution 30D</t>
        </is>
      </c>
      <c r="C133" s="57" t="n">
        <v>32</v>
      </c>
      <c r="D133" s="59" t="inlineStr">
        <is>
          <t>Todays Collection Charges</t>
        </is>
      </c>
    </row>
    <row r="134" ht="15" customHeight="1">
      <c r="A134" s="57" t="inlineStr">
        <is>
          <t>OLAP</t>
        </is>
      </c>
      <c r="B134" s="59" t="inlineStr">
        <is>
          <t>Profit Contribution 30D</t>
        </is>
      </c>
      <c r="C134" s="57" t="n">
        <v>33</v>
      </c>
      <c r="D134" s="59" t="inlineStr">
        <is>
          <t>Todays Amount Due</t>
        </is>
      </c>
    </row>
    <row r="135" ht="15" customHeight="1">
      <c r="A135" s="57" t="inlineStr">
        <is>
          <t>OLAP</t>
        </is>
      </c>
      <c r="B135" s="59" t="inlineStr">
        <is>
          <t>Profit Contribution 30D</t>
        </is>
      </c>
      <c r="C135" s="57" t="n">
        <v>34</v>
      </c>
      <c r="D135" s="59" t="inlineStr">
        <is>
          <t>Todays Amount Collected</t>
        </is>
      </c>
    </row>
    <row r="136" ht="15" customHeight="1">
      <c r="A136" s="57" t="inlineStr">
        <is>
          <t>OLAP</t>
        </is>
      </c>
      <c r="B136" s="59" t="inlineStr">
        <is>
          <t>Profit Contribution 30D</t>
        </is>
      </c>
      <c r="C136" s="57" t="n">
        <v>35</v>
      </c>
      <c r="D136" s="59" t="inlineStr">
        <is>
          <t>Todays Amount Remaining</t>
        </is>
      </c>
    </row>
    <row r="137" ht="15" customHeight="1">
      <c r="A137" s="57" t="inlineStr">
        <is>
          <t>OLAP</t>
        </is>
      </c>
      <c r="B137" s="59" t="inlineStr">
        <is>
          <t>Profit Contribution 30D</t>
        </is>
      </c>
      <c r="C137" s="57" t="n">
        <v>36</v>
      </c>
      <c r="D137" s="59" t="inlineStr">
        <is>
          <t>Portfolio Exposure %</t>
        </is>
      </c>
    </row>
    <row r="138" ht="15" customHeight="1">
      <c r="A138" s="57" t="inlineStr">
        <is>
          <t>OLAP</t>
        </is>
      </c>
      <c r="B138" s="59" t="inlineStr">
        <is>
          <t>Profit Contribution 30D</t>
        </is>
      </c>
      <c r="C138" s="57" t="n">
        <v>37</v>
      </c>
      <c r="D138" s="59" t="inlineStr">
        <is>
          <t>Active Loan Count</t>
        </is>
      </c>
    </row>
    <row r="139" ht="15" customHeight="1">
      <c r="A139" s="57" t="inlineStr">
        <is>
          <t>OLAP</t>
        </is>
      </c>
      <c r="B139" s="59" t="inlineStr">
        <is>
          <t>Profit Contribution 30D</t>
        </is>
      </c>
      <c r="C139" s="57" t="n">
        <v>38</v>
      </c>
      <c r="D139" s="59" t="inlineStr">
        <is>
          <t>Oldest Active Loan Age</t>
        </is>
      </c>
    </row>
    <row r="140" ht="15" customHeight="1">
      <c r="A140" s="57" t="inlineStr">
        <is>
          <t>OLAP</t>
        </is>
      </c>
      <c r="B140" s="59" t="inlineStr">
        <is>
          <t>Profit Contribution 30D</t>
        </is>
      </c>
      <c r="C140" s="57" t="n">
        <v>39</v>
      </c>
      <c r="D140" s="59" t="inlineStr">
        <is>
          <t>Overdue Amount</t>
        </is>
      </c>
    </row>
    <row r="141" ht="15" customHeight="1">
      <c r="A141" s="57" t="inlineStr">
        <is>
          <t>OLAP</t>
        </is>
      </c>
      <c r="B141" s="59" t="inlineStr">
        <is>
          <t>Profit Contribution 30D</t>
        </is>
      </c>
      <c r="C141" s="57" t="n">
        <v>40</v>
      </c>
      <c r="D141" s="59" t="inlineStr">
        <is>
          <t>Overdue Charge Count</t>
        </is>
      </c>
    </row>
    <row r="142" ht="15" customHeight="1">
      <c r="A142" s="57" t="inlineStr">
        <is>
          <t>OLAP</t>
        </is>
      </c>
      <c r="B142" s="59" t="inlineStr">
        <is>
          <t>Profit Contribution 30D</t>
        </is>
      </c>
      <c r="C142" s="57" t="n">
        <v>41</v>
      </c>
      <c r="D142" s="59" t="inlineStr">
        <is>
          <t>Historical Charge Count</t>
        </is>
      </c>
    </row>
    <row r="143" ht="15" customHeight="1">
      <c r="A143" s="57" t="inlineStr">
        <is>
          <t>OLAP</t>
        </is>
      </c>
      <c r="B143" s="59" t="inlineStr">
        <is>
          <t>Profit Contribution 30D</t>
        </is>
      </c>
      <c r="C143" s="57" t="n">
        <v>42</v>
      </c>
      <c r="D143" s="59" t="inlineStr">
        <is>
          <t>On Time Charge Count</t>
        </is>
      </c>
    </row>
    <row r="144" ht="15" customHeight="1">
      <c r="A144" s="57" t="inlineStr">
        <is>
          <t>OLAP</t>
        </is>
      </c>
      <c r="B144" s="59" t="inlineStr">
        <is>
          <t>Profit Contribution 30D</t>
        </is>
      </c>
      <c r="C144" s="57" t="n">
        <v>43</v>
      </c>
      <c r="D144" s="59" t="inlineStr">
        <is>
          <t>Lifetime On Time Rate</t>
        </is>
      </c>
    </row>
    <row r="145" ht="15" customHeight="1">
      <c r="A145" s="57" t="inlineStr">
        <is>
          <t>OLAP</t>
        </is>
      </c>
      <c r="B145" s="59" t="inlineStr">
        <is>
          <t>Profit Contribution 30D</t>
        </is>
      </c>
      <c r="C145" s="57" t="n">
        <v>44</v>
      </c>
      <c r="D145" s="59" t="inlineStr">
        <is>
          <t>Recent 30D Charge Count</t>
        </is>
      </c>
    </row>
    <row r="146" ht="15" customHeight="1">
      <c r="A146" s="57" t="inlineStr">
        <is>
          <t>OLAP</t>
        </is>
      </c>
      <c r="B146" s="59" t="inlineStr">
        <is>
          <t>Profit Contribution 30D</t>
        </is>
      </c>
      <c r="C146" s="57" t="n">
        <v>45</v>
      </c>
      <c r="D146" s="59" t="inlineStr">
        <is>
          <t>Recent 30D On Time Count</t>
        </is>
      </c>
    </row>
    <row r="147" ht="15" customHeight="1">
      <c r="A147" s="57" t="inlineStr">
        <is>
          <t>OLAP</t>
        </is>
      </c>
      <c r="B147" s="59" t="inlineStr">
        <is>
          <t>Profit Contribution 30D</t>
        </is>
      </c>
      <c r="C147" s="57" t="n">
        <v>46</v>
      </c>
      <c r="D147" s="59" t="inlineStr">
        <is>
          <t>Recent 30D On Time Rate</t>
        </is>
      </c>
    </row>
    <row r="148" ht="15" customHeight="1">
      <c r="A148" s="57" t="inlineStr">
        <is>
          <t>OLAP</t>
        </is>
      </c>
      <c r="B148" s="59" t="inlineStr">
        <is>
          <t>Profit Contribution 30D</t>
        </is>
      </c>
      <c r="C148" s="57" t="n">
        <v>47</v>
      </c>
      <c r="D148" s="59" t="inlineStr">
        <is>
          <t>Lifetime Late Payment Count</t>
        </is>
      </c>
    </row>
    <row r="149" ht="15" customHeight="1">
      <c r="A149" s="57" t="inlineStr">
        <is>
          <t>OLAP</t>
        </is>
      </c>
      <c r="B149" s="59" t="inlineStr">
        <is>
          <t>Profit Contribution 30D</t>
        </is>
      </c>
      <c r="C149" s="57" t="n">
        <v>48</v>
      </c>
      <c r="D149" s="59" t="inlineStr">
        <is>
          <t>Recent 30D Late Payment Count</t>
        </is>
      </c>
    </row>
    <row r="150" ht="15" customHeight="1">
      <c r="A150" s="57" t="inlineStr">
        <is>
          <t>OLAP</t>
        </is>
      </c>
      <c r="B150" s="59" t="inlineStr">
        <is>
          <t>Profit Contribution 30D</t>
        </is>
      </c>
      <c r="C150" s="57" t="n">
        <v>49</v>
      </c>
      <c r="D150" s="59" t="inlineStr">
        <is>
          <t>Maximum Days Late</t>
        </is>
      </c>
    </row>
    <row r="151" ht="15" customHeight="1">
      <c r="A151" s="57" t="inlineStr">
        <is>
          <t>OLAP</t>
        </is>
      </c>
      <c r="B151" s="59" t="inlineStr">
        <is>
          <t>Profit Contribution 30D</t>
        </is>
      </c>
      <c r="C151" s="57" t="n">
        <v>50</v>
      </c>
      <c r="D151" s="59" t="inlineStr">
        <is>
          <t>Last Late Payment Date</t>
        </is>
      </c>
    </row>
    <row r="152" ht="15" customHeight="1">
      <c r="A152" s="57" t="inlineStr">
        <is>
          <t>OLAP</t>
        </is>
      </c>
      <c r="B152" s="59" t="inlineStr">
        <is>
          <t>Profit Contribution 30D</t>
        </is>
      </c>
      <c r="C152" s="57" t="n">
        <v>51</v>
      </c>
      <c r="D152" s="59" t="inlineStr">
        <is>
          <t>Largest Successful Loan</t>
        </is>
      </c>
    </row>
    <row r="153" ht="15" customHeight="1">
      <c r="A153" s="57" t="inlineStr">
        <is>
          <t>OLAP</t>
        </is>
      </c>
      <c r="B153" s="59" t="inlineStr">
        <is>
          <t>Profit Contribution 30D</t>
        </is>
      </c>
      <c r="C153" s="57" t="n">
        <v>52</v>
      </c>
      <c r="D153" s="59" t="inlineStr">
        <is>
          <t>Average Successful Loan Size</t>
        </is>
      </c>
    </row>
    <row r="154" ht="15" customHeight="1">
      <c r="A154" s="57" t="inlineStr">
        <is>
          <t>OLAP</t>
        </is>
      </c>
      <c r="B154" s="59" t="inlineStr">
        <is>
          <t>Profit Contribution 30D</t>
        </is>
      </c>
      <c r="C154" s="57" t="n">
        <v>53</v>
      </c>
      <c r="D154" s="59" t="inlineStr">
        <is>
          <t>Default Count</t>
        </is>
      </c>
    </row>
    <row r="155" ht="15" customHeight="1">
      <c r="A155" s="57" t="inlineStr">
        <is>
          <t>OLAP</t>
        </is>
      </c>
      <c r="B155" s="59" t="inlineStr">
        <is>
          <t>Profit Contribution 30D</t>
        </is>
      </c>
      <c r="C155" s="57" t="n">
        <v>54</v>
      </c>
      <c r="D155" s="59" t="inlineStr">
        <is>
          <t>Lifetime Default Loss</t>
        </is>
      </c>
    </row>
    <row r="156" ht="15" customHeight="1">
      <c r="A156" s="57" t="inlineStr">
        <is>
          <t>OLAP</t>
        </is>
      </c>
      <c r="B156" s="59" t="inlineStr">
        <is>
          <t>Profit Contribution 30D</t>
        </is>
      </c>
      <c r="C156" s="57" t="n">
        <v>55</v>
      </c>
      <c r="D156" s="59" t="inlineStr">
        <is>
          <t>Portfolio Outstanding Principal</t>
        </is>
      </c>
    </row>
    <row r="157" ht="15" customHeight="1">
      <c r="A157" s="57" t="inlineStr">
        <is>
          <t>OLAP</t>
        </is>
      </c>
      <c r="B157" s="59" t="inlineStr">
        <is>
          <t>Profit Contribution 30D</t>
        </is>
      </c>
      <c r="C157" s="57" t="n">
        <v>56</v>
      </c>
      <c r="D157" s="59" t="inlineStr">
        <is>
          <t>Portfolio Share Join Key</t>
        </is>
      </c>
    </row>
    <row r="158" ht="15" customHeight="1">
      <c r="A158" s="57" t="inlineStr">
        <is>
          <t>OLAP</t>
        </is>
      </c>
      <c r="B158" s="59" t="inlineStr">
        <is>
          <t>Reporting Borrowers</t>
        </is>
      </c>
      <c r="C158" s="57" t="n">
        <v>1</v>
      </c>
      <c r="D158" s="59" t="inlineStr">
        <is>
          <t>_RowNumber</t>
        </is>
      </c>
    </row>
    <row r="159" ht="15" customHeight="1">
      <c r="A159" s="57" t="inlineStr">
        <is>
          <t>OLAP</t>
        </is>
      </c>
      <c r="B159" s="59" t="inlineStr">
        <is>
          <t>Reporting Borrowers</t>
        </is>
      </c>
      <c r="C159" s="57" t="n">
        <v>2</v>
      </c>
      <c r="D159" s="59" t="inlineStr">
        <is>
          <t>Row ID</t>
        </is>
      </c>
    </row>
    <row r="160" ht="15" customHeight="1">
      <c r="A160" s="57" t="inlineStr">
        <is>
          <t>OLAP</t>
        </is>
      </c>
      <c r="B160" s="59" t="inlineStr">
        <is>
          <t>Reporting Borrowers</t>
        </is>
      </c>
      <c r="C160" s="57" t="n">
        <v>3</v>
      </c>
      <c r="D160" s="59" t="inlineStr">
        <is>
          <t>Borrower Name</t>
        </is>
      </c>
    </row>
    <row r="161" ht="15" customHeight="1">
      <c r="A161" s="57" t="inlineStr">
        <is>
          <t>OLAP</t>
        </is>
      </c>
      <c r="B161" s="59" t="inlineStr">
        <is>
          <t>Reporting Borrowers</t>
        </is>
      </c>
      <c r="C161" s="57" t="n">
        <v>4</v>
      </c>
      <c r="D161" s="59" t="inlineStr">
        <is>
          <t>Borrower Name TE</t>
        </is>
      </c>
    </row>
    <row r="162" ht="15" customHeight="1">
      <c r="A162" s="57" t="inlineStr">
        <is>
          <t>OLAP</t>
        </is>
      </c>
      <c r="B162" s="59" t="inlineStr">
        <is>
          <t>Reporting Borrowers</t>
        </is>
      </c>
      <c r="C162" s="57" t="n">
        <v>5</v>
      </c>
      <c r="D162" s="59" t="inlineStr">
        <is>
          <t>Description</t>
        </is>
      </c>
    </row>
    <row r="163" ht="15" customHeight="1">
      <c r="A163" s="57" t="inlineStr">
        <is>
          <t>OLAP</t>
        </is>
      </c>
      <c r="B163" s="59" t="inlineStr">
        <is>
          <t>Reporting Borrowers</t>
        </is>
      </c>
      <c r="C163" s="57" t="n">
        <v>6</v>
      </c>
      <c r="D163" s="59" t="inlineStr">
        <is>
          <t>Total Interest Earned</t>
        </is>
      </c>
    </row>
    <row r="164" ht="15" customHeight="1">
      <c r="A164" s="57" t="inlineStr">
        <is>
          <t>OLAP</t>
        </is>
      </c>
      <c r="B164" s="59" t="inlineStr">
        <is>
          <t>Reporting Borrowers</t>
        </is>
      </c>
      <c r="C164" s="57" t="n">
        <v>7</v>
      </c>
      <c r="D164" s="59" t="inlineStr">
        <is>
          <t>Total Amount Loaned</t>
        </is>
      </c>
    </row>
    <row r="165" ht="15" customHeight="1">
      <c r="A165" s="57" t="inlineStr">
        <is>
          <t>OLAP</t>
        </is>
      </c>
      <c r="B165" s="59" t="inlineStr">
        <is>
          <t>Reporting Borrowers</t>
        </is>
      </c>
      <c r="C165" s="57" t="n">
        <v>8</v>
      </c>
      <c r="D165" s="59" t="inlineStr">
        <is>
          <t>Total Number of Loans</t>
        </is>
      </c>
    </row>
    <row r="166" ht="15" customHeight="1">
      <c r="A166" s="57" t="inlineStr">
        <is>
          <t>OLAP</t>
        </is>
      </c>
      <c r="B166" s="59" t="inlineStr">
        <is>
          <t>Reporting Borrowers</t>
        </is>
      </c>
      <c r="C166" s="57" t="n">
        <v>9</v>
      </c>
      <c r="D166" s="59" t="inlineStr">
        <is>
          <t>Total Outstanding Principal</t>
        </is>
      </c>
    </row>
    <row r="167" ht="15" customHeight="1">
      <c r="A167" s="57" t="inlineStr">
        <is>
          <t>OLAP</t>
        </is>
      </c>
      <c r="B167" s="59" t="inlineStr">
        <is>
          <t>Reporting Borrowers</t>
        </is>
      </c>
      <c r="C167" s="57" t="n">
        <v>10</v>
      </c>
      <c r="D167" s="59" t="inlineStr">
        <is>
          <t>Daily Collection Status</t>
        </is>
      </c>
    </row>
    <row r="168" ht="15" customHeight="1">
      <c r="A168" s="57" t="inlineStr">
        <is>
          <t>OLAP</t>
        </is>
      </c>
      <c r="B168" s="59" t="inlineStr">
        <is>
          <t>Reporting Borrowers</t>
        </is>
      </c>
      <c r="C168" s="57" t="n">
        <v>11</v>
      </c>
      <c r="D168" s="59" t="inlineStr">
        <is>
          <t>Todays Amount Due</t>
        </is>
      </c>
    </row>
    <row r="169" ht="15" customHeight="1">
      <c r="A169" s="57" t="inlineStr">
        <is>
          <t>OLAP</t>
        </is>
      </c>
      <c r="B169" s="59" t="inlineStr">
        <is>
          <t>Reporting Borrowers</t>
        </is>
      </c>
      <c r="C169" s="57" t="n">
        <v>12</v>
      </c>
      <c r="D169" s="59" t="inlineStr">
        <is>
          <t>Todays Amount Collected</t>
        </is>
      </c>
    </row>
    <row r="170" ht="15" customHeight="1">
      <c r="A170" s="57" t="inlineStr">
        <is>
          <t>OLAP</t>
        </is>
      </c>
      <c r="B170" s="59" t="inlineStr">
        <is>
          <t>Reporting Borrowers</t>
        </is>
      </c>
      <c r="C170" s="57" t="n">
        <v>13</v>
      </c>
      <c r="D170" s="59" t="inlineStr">
        <is>
          <t>Todays Amount Remaining</t>
        </is>
      </c>
    </row>
    <row r="171" ht="15" customHeight="1">
      <c r="A171" s="57" t="inlineStr">
        <is>
          <t>OLAP</t>
        </is>
      </c>
      <c r="B171" s="59" t="inlineStr">
        <is>
          <t>Reporting Borrowers</t>
        </is>
      </c>
      <c r="C171" s="57" t="n">
        <v>14</v>
      </c>
      <c r="D171" s="59" t="inlineStr">
        <is>
          <t>30D Return on Average Principal</t>
        </is>
      </c>
    </row>
    <row r="172" ht="15" customHeight="1">
      <c r="A172" s="57" t="inlineStr">
        <is>
          <t>OLAP</t>
        </is>
      </c>
      <c r="B172" s="59" t="inlineStr">
        <is>
          <t>Reporting Borrowers</t>
        </is>
      </c>
      <c r="C172" s="57" t="n">
        <v>15</v>
      </c>
      <c r="D172" s="59" t="inlineStr">
        <is>
          <t>Return on Active Principal</t>
        </is>
      </c>
    </row>
    <row r="173" ht="15" customHeight="1">
      <c r="A173" s="57" t="inlineStr">
        <is>
          <t>OLAP</t>
        </is>
      </c>
      <c r="B173" s="59" t="inlineStr">
        <is>
          <t>Reporting Borrowers</t>
        </is>
      </c>
      <c r="C173" s="57" t="n">
        <v>16</v>
      </c>
      <c r="D173" s="59" t="inlineStr">
        <is>
          <t>30D Average Outstanding Principal</t>
        </is>
      </c>
    </row>
    <row r="174" ht="15" customHeight="1">
      <c r="A174" s="57" t="inlineStr">
        <is>
          <t>OLAP</t>
        </is>
      </c>
      <c r="B174" s="59" t="inlineStr">
        <is>
          <t>Reporting Borrowers</t>
        </is>
      </c>
      <c r="C174" s="57" t="n">
        <v>17</v>
      </c>
      <c r="D174" s="59" t="inlineStr">
        <is>
          <t>Profit Last 30 Days</t>
        </is>
      </c>
    </row>
    <row r="175" ht="15" customHeight="1">
      <c r="A175" s="57" t="inlineStr">
        <is>
          <t>OLAP</t>
        </is>
      </c>
      <c r="B175" s="59" t="inlineStr">
        <is>
          <t>Reporting Borrowers</t>
        </is>
      </c>
      <c r="C175" s="57" t="n">
        <v>18</v>
      </c>
      <c r="D175" s="59" t="inlineStr">
        <is>
          <t>Has Active Loan</t>
        </is>
      </c>
    </row>
    <row r="176" ht="15" customHeight="1">
      <c r="A176" s="57" t="inlineStr">
        <is>
          <t>OLAP</t>
        </is>
      </c>
      <c r="B176" s="59" t="inlineStr">
        <is>
          <t>Reporting Borrowers</t>
        </is>
      </c>
      <c r="C176" s="57" t="n">
        <v>19</v>
      </c>
      <c r="D176" s="59" t="inlineStr">
        <is>
          <t>Has Closed Loan</t>
        </is>
      </c>
    </row>
    <row r="177" ht="15" customHeight="1">
      <c r="A177" s="57" t="inlineStr">
        <is>
          <t>OLAP</t>
        </is>
      </c>
      <c r="B177" s="59" t="inlineStr">
        <is>
          <t>Reporting Borrowers</t>
        </is>
      </c>
      <c r="C177" s="57" t="n">
        <v>20</v>
      </c>
      <c r="D177" s="59" t="inlineStr">
        <is>
          <t>Overdue Amount</t>
        </is>
      </c>
    </row>
    <row r="178" ht="15" customHeight="1">
      <c r="A178" s="57" t="inlineStr">
        <is>
          <t>OLAP</t>
        </is>
      </c>
      <c r="B178" s="59" t="inlineStr">
        <is>
          <t>Reporting Borrowers</t>
        </is>
      </c>
      <c r="C178" s="57" t="n">
        <v>21</v>
      </c>
      <c r="D178" s="59" t="inlineStr">
        <is>
          <t>Overdue Charge Count</t>
        </is>
      </c>
    </row>
    <row r="179" ht="15" customHeight="1">
      <c r="A179" s="57" t="inlineStr">
        <is>
          <t>OLAP</t>
        </is>
      </c>
      <c r="B179" s="59" t="inlineStr">
        <is>
          <t>Reporting Borrowers</t>
        </is>
      </c>
      <c r="C179" s="57" t="n">
        <v>22</v>
      </c>
      <c r="D179" s="59" t="inlineStr">
        <is>
          <t>Oldest Active Loan Age</t>
        </is>
      </c>
    </row>
    <row r="180" ht="15" customHeight="1">
      <c r="A180" s="57" t="inlineStr">
        <is>
          <t>OLAP</t>
        </is>
      </c>
      <c r="B180" s="59" t="inlineStr">
        <is>
          <t>Reporting Borrowers</t>
        </is>
      </c>
      <c r="C180" s="57" t="n">
        <v>23</v>
      </c>
      <c r="D180" s="59" t="inlineStr">
        <is>
          <t>Active Loan Count</t>
        </is>
      </c>
    </row>
    <row r="181" ht="15" customHeight="1">
      <c r="A181" s="57" t="inlineStr">
        <is>
          <t>OLAP</t>
        </is>
      </c>
      <c r="B181" s="59" t="inlineStr">
        <is>
          <t>Reporting Borrowers</t>
        </is>
      </c>
      <c r="C181" s="57" t="n">
        <v>24</v>
      </c>
      <c r="D181" s="59" t="inlineStr">
        <is>
          <t>Portfolio Exposure %</t>
        </is>
      </c>
    </row>
    <row r="182" ht="15" customHeight="1">
      <c r="A182" s="57" t="inlineStr">
        <is>
          <t>OLAP</t>
        </is>
      </c>
      <c r="B182" s="59" t="inlineStr">
        <is>
          <t>Reporting Borrowers</t>
        </is>
      </c>
      <c r="C182" s="57" t="n">
        <v>25</v>
      </c>
      <c r="D182" s="59" t="inlineStr">
        <is>
          <t>Historical Charge Count</t>
        </is>
      </c>
    </row>
    <row r="183" ht="15" customHeight="1">
      <c r="A183" s="57" t="inlineStr">
        <is>
          <t>OLAP</t>
        </is>
      </c>
      <c r="B183" s="59" t="inlineStr">
        <is>
          <t>Reporting Borrowers</t>
        </is>
      </c>
      <c r="C183" s="57" t="n">
        <v>26</v>
      </c>
      <c r="D183" s="59" t="inlineStr">
        <is>
          <t>On Time Charge Count</t>
        </is>
      </c>
    </row>
    <row r="184" ht="15" customHeight="1">
      <c r="A184" s="57" t="inlineStr">
        <is>
          <t>OLAP</t>
        </is>
      </c>
      <c r="B184" s="59" t="inlineStr">
        <is>
          <t>Reporting Borrowers</t>
        </is>
      </c>
      <c r="C184" s="57" t="n">
        <v>27</v>
      </c>
      <c r="D184" s="59" t="inlineStr">
        <is>
          <t>Lifetime On Time Rate</t>
        </is>
      </c>
    </row>
    <row r="185" ht="15" customHeight="1">
      <c r="A185" s="57" t="inlineStr">
        <is>
          <t>OLAP</t>
        </is>
      </c>
      <c r="B185" s="59" t="inlineStr">
        <is>
          <t>Reporting Borrowers</t>
        </is>
      </c>
      <c r="C185" s="57" t="n">
        <v>28</v>
      </c>
      <c r="D185" s="59" t="inlineStr">
        <is>
          <t>Recent 30D Charge Count</t>
        </is>
      </c>
    </row>
    <row r="186" ht="15" customHeight="1">
      <c r="A186" s="57" t="inlineStr">
        <is>
          <t>OLAP</t>
        </is>
      </c>
      <c r="B186" s="59" t="inlineStr">
        <is>
          <t>Reporting Borrowers</t>
        </is>
      </c>
      <c r="C186" s="57" t="n">
        <v>29</v>
      </c>
      <c r="D186" s="59" t="inlineStr">
        <is>
          <t>Recent 30D On Time Count</t>
        </is>
      </c>
    </row>
    <row r="187" ht="15" customHeight="1">
      <c r="A187" s="57" t="inlineStr">
        <is>
          <t>OLAP</t>
        </is>
      </c>
      <c r="B187" s="59" t="inlineStr">
        <is>
          <t>Reporting Borrowers</t>
        </is>
      </c>
      <c r="C187" s="57" t="n">
        <v>30</v>
      </c>
      <c r="D187" s="59" t="inlineStr">
        <is>
          <t>Recent 30D On Time Rate</t>
        </is>
      </c>
    </row>
    <row r="188" ht="15" customHeight="1">
      <c r="A188" s="57" t="inlineStr">
        <is>
          <t>OLAP</t>
        </is>
      </c>
      <c r="B188" s="59" t="inlineStr">
        <is>
          <t>Reporting Borrowers</t>
        </is>
      </c>
      <c r="C188" s="57" t="n">
        <v>31</v>
      </c>
      <c r="D188" s="59" t="inlineStr">
        <is>
          <t>Lifetime Late Payment Count</t>
        </is>
      </c>
    </row>
    <row r="189" ht="15" customHeight="1">
      <c r="A189" s="57" t="inlineStr">
        <is>
          <t>OLAP</t>
        </is>
      </c>
      <c r="B189" s="59" t="inlineStr">
        <is>
          <t>Reporting Borrowers</t>
        </is>
      </c>
      <c r="C189" s="57" t="n">
        <v>32</v>
      </c>
      <c r="D189" s="59" t="inlineStr">
        <is>
          <t>Recent 30D Late Payment Count</t>
        </is>
      </c>
    </row>
    <row r="190" ht="15" customHeight="1">
      <c r="A190" s="57" t="inlineStr">
        <is>
          <t>OLAP</t>
        </is>
      </c>
      <c r="B190" s="59" t="inlineStr">
        <is>
          <t>Reporting Borrowers</t>
        </is>
      </c>
      <c r="C190" s="57" t="n">
        <v>33</v>
      </c>
      <c r="D190" s="59" t="inlineStr">
        <is>
          <t>Maximum Days Late</t>
        </is>
      </c>
    </row>
    <row r="191" ht="15" customHeight="1">
      <c r="A191" s="57" t="inlineStr">
        <is>
          <t>OLAP</t>
        </is>
      </c>
      <c r="B191" s="59" t="inlineStr">
        <is>
          <t>Reporting Borrowers</t>
        </is>
      </c>
      <c r="C191" s="57" t="n">
        <v>34</v>
      </c>
      <c r="D191" s="59" t="inlineStr">
        <is>
          <t>Last Late Payment Date</t>
        </is>
      </c>
    </row>
    <row r="192" ht="15" customHeight="1">
      <c r="A192" s="57" t="inlineStr">
        <is>
          <t>OLAP</t>
        </is>
      </c>
      <c r="B192" s="59" t="inlineStr">
        <is>
          <t>Reporting Borrowers</t>
        </is>
      </c>
      <c r="C192" s="57" t="n">
        <v>35</v>
      </c>
      <c r="D192" s="59" t="inlineStr">
        <is>
          <t>Largest Successful Loan</t>
        </is>
      </c>
    </row>
    <row r="193" ht="15" customHeight="1">
      <c r="A193" s="57" t="inlineStr">
        <is>
          <t>OLAP</t>
        </is>
      </c>
      <c r="B193" s="59" t="inlineStr">
        <is>
          <t>Reporting Borrowers</t>
        </is>
      </c>
      <c r="C193" s="57" t="n">
        <v>36</v>
      </c>
      <c r="D193" s="59" t="inlineStr">
        <is>
          <t>Average Successful Loan Size</t>
        </is>
      </c>
    </row>
    <row r="194" ht="15" customHeight="1">
      <c r="A194" s="57" t="inlineStr">
        <is>
          <t>OLAP</t>
        </is>
      </c>
      <c r="B194" s="59" t="inlineStr">
        <is>
          <t>Reporting Borrowers</t>
        </is>
      </c>
      <c r="C194" s="57" t="n">
        <v>37</v>
      </c>
      <c r="D194" s="59" t="inlineStr">
        <is>
          <t>Default Count</t>
        </is>
      </c>
    </row>
    <row r="195" ht="15" customHeight="1">
      <c r="A195" s="57" t="inlineStr">
        <is>
          <t>OLAP</t>
        </is>
      </c>
      <c r="B195" s="59" t="inlineStr">
        <is>
          <t>Reporting Borrowers</t>
        </is>
      </c>
      <c r="C195" s="57" t="n">
        <v>38</v>
      </c>
      <c r="D195" s="59" t="inlineStr">
        <is>
          <t>Lifetime Default Loss</t>
        </is>
      </c>
    </row>
    <row r="196" ht="15" customHeight="1">
      <c r="A196" s="57" t="inlineStr">
        <is>
          <t>OLAP</t>
        </is>
      </c>
      <c r="B196" s="59" t="inlineStr">
        <is>
          <t>Reporting Borrowers</t>
        </is>
      </c>
      <c r="C196" s="57" t="n">
        <v>39</v>
      </c>
      <c r="D196" s="59" t="inlineStr">
        <is>
          <t>Portfolio Outstanding Principal</t>
        </is>
      </c>
    </row>
    <row r="197" ht="15" customHeight="1">
      <c r="A197" s="57" t="inlineStr">
        <is>
          <t>OLAP</t>
        </is>
      </c>
      <c r="B197" s="59" t="inlineStr">
        <is>
          <t>Reporting Borrowers</t>
        </is>
      </c>
      <c r="C197" s="57" t="n">
        <v>40</v>
      </c>
      <c r="D197" s="59" t="inlineStr">
        <is>
          <t>Portfolio Share Join Key</t>
        </is>
      </c>
    </row>
    <row r="198" ht="15" customHeight="1">
      <c r="A198" s="57" t="inlineStr">
        <is>
          <t>OLAP</t>
        </is>
      </c>
      <c r="B198" s="59" t="inlineStr">
        <is>
          <t>Reporting Charges</t>
        </is>
      </c>
      <c r="C198" s="57" t="n">
        <v>1</v>
      </c>
      <c r="D198" s="59" t="inlineStr">
        <is>
          <t>_RowNumber</t>
        </is>
      </c>
    </row>
    <row r="199" ht="15" customHeight="1">
      <c r="A199" s="57" t="inlineStr">
        <is>
          <t>OLAP</t>
        </is>
      </c>
      <c r="B199" s="59" t="inlineStr">
        <is>
          <t>Reporting Charges</t>
        </is>
      </c>
      <c r="C199" s="57" t="n">
        <v>2</v>
      </c>
      <c r="D199" s="59" t="inlineStr">
        <is>
          <t>Row ID</t>
        </is>
      </c>
    </row>
    <row r="200" ht="15" customHeight="1">
      <c r="A200" s="57" t="inlineStr">
        <is>
          <t>OLAP</t>
        </is>
      </c>
      <c r="B200" s="59" t="inlineStr">
        <is>
          <t>Reporting Charges</t>
        </is>
      </c>
      <c r="C200" s="57" t="n">
        <v>3</v>
      </c>
      <c r="D200" s="59" t="inlineStr">
        <is>
          <t>Ref Loans</t>
        </is>
      </c>
    </row>
    <row r="201" ht="15" customHeight="1">
      <c r="A201" s="57" t="inlineStr">
        <is>
          <t>OLAP</t>
        </is>
      </c>
      <c r="B201" s="59" t="inlineStr">
        <is>
          <t>Reporting Charges</t>
        </is>
      </c>
      <c r="C201" s="57" t="n">
        <v>4</v>
      </c>
      <c r="D201" s="59" t="inlineStr">
        <is>
          <t>Charge Date</t>
        </is>
      </c>
    </row>
    <row r="202" ht="15" customHeight="1">
      <c r="A202" s="57" t="inlineStr">
        <is>
          <t>OLAP</t>
        </is>
      </c>
      <c r="B202" s="59" t="inlineStr">
        <is>
          <t>Reporting Charges</t>
        </is>
      </c>
      <c r="C202" s="57" t="n">
        <v>5</v>
      </c>
      <c r="D202" s="59" t="inlineStr">
        <is>
          <t>Interest Due</t>
        </is>
      </c>
    </row>
    <row r="203" ht="15" customHeight="1">
      <c r="A203" s="57" t="inlineStr">
        <is>
          <t>OLAP</t>
        </is>
      </c>
      <c r="B203" s="59" t="inlineStr">
        <is>
          <t>Reporting Charges</t>
        </is>
      </c>
      <c r="C203" s="57" t="n">
        <v>6</v>
      </c>
      <c r="D203" s="59" t="inlineStr">
        <is>
          <t>Principal Due</t>
        </is>
      </c>
    </row>
    <row r="204" ht="15" customHeight="1">
      <c r="A204" s="57" t="inlineStr">
        <is>
          <t>OLAP</t>
        </is>
      </c>
      <c r="B204" s="59" t="inlineStr">
        <is>
          <t>Reporting Charges</t>
        </is>
      </c>
      <c r="C204" s="57" t="n">
        <v>7</v>
      </c>
      <c r="D204" s="59" t="inlineStr">
        <is>
          <t>Amount Due</t>
        </is>
      </c>
    </row>
    <row r="205" ht="15" customHeight="1">
      <c r="A205" s="57" t="inlineStr">
        <is>
          <t>OLAP</t>
        </is>
      </c>
      <c r="B205" s="59" t="inlineStr">
        <is>
          <t>Reporting Charges</t>
        </is>
      </c>
      <c r="C205" s="57" t="n">
        <v>8</v>
      </c>
      <c r="D205" s="59" t="inlineStr">
        <is>
          <t>Payment Date</t>
        </is>
      </c>
    </row>
    <row r="206" ht="15" customHeight="1">
      <c r="A206" s="57" t="inlineStr">
        <is>
          <t>OLAP</t>
        </is>
      </c>
      <c r="B206" s="59" t="inlineStr">
        <is>
          <t>Reporting Charges</t>
        </is>
      </c>
      <c r="C206" s="57" t="n">
        <v>9</v>
      </c>
      <c r="D206" s="59" t="inlineStr">
        <is>
          <t>Payment Status TE</t>
        </is>
      </c>
    </row>
    <row r="207" ht="15" customHeight="1">
      <c r="A207" s="57" t="inlineStr">
        <is>
          <t>OLAP</t>
        </is>
      </c>
      <c r="B207" s="59" t="inlineStr">
        <is>
          <t>Reporting Charges</t>
        </is>
      </c>
      <c r="C207" s="57" t="n">
        <v>10</v>
      </c>
      <c r="D207" s="59" t="inlineStr">
        <is>
          <t>Principal Paid</t>
        </is>
      </c>
    </row>
    <row r="208" ht="15" customHeight="1">
      <c r="A208" s="57" t="inlineStr">
        <is>
          <t>OLAP</t>
        </is>
      </c>
      <c r="B208" s="59" t="inlineStr">
        <is>
          <t>Reporting Charges</t>
        </is>
      </c>
      <c r="C208" s="57" t="n">
        <v>11</v>
      </c>
      <c r="D208" s="59" t="inlineStr">
        <is>
          <t>Interest Paid</t>
        </is>
      </c>
    </row>
    <row r="209" ht="15" customHeight="1">
      <c r="A209" s="57" t="inlineStr">
        <is>
          <t>OLAP</t>
        </is>
      </c>
      <c r="B209" s="59" t="inlineStr">
        <is>
          <t>Reporting Charges</t>
        </is>
      </c>
      <c r="C209" s="57" t="n">
        <v>12</v>
      </c>
      <c r="D209" s="59" t="inlineStr">
        <is>
          <t>Total Paid</t>
        </is>
      </c>
    </row>
    <row r="210" ht="15" customHeight="1">
      <c r="A210" s="57" t="inlineStr">
        <is>
          <t>OLAP</t>
        </is>
      </c>
      <c r="B210" s="59" t="inlineStr">
        <is>
          <t>Reporting Charges</t>
        </is>
      </c>
      <c r="C210" s="57" t="n">
        <v>13</v>
      </c>
      <c r="D210" s="59" t="inlineStr">
        <is>
          <t>Principal Remaining</t>
        </is>
      </c>
    </row>
    <row r="211" ht="15" customHeight="1">
      <c r="A211" s="57" t="inlineStr">
        <is>
          <t>OLAP</t>
        </is>
      </c>
      <c r="B211" s="59" t="inlineStr">
        <is>
          <t>Reporting Charges</t>
        </is>
      </c>
      <c r="C211" s="57" t="n">
        <v>14</v>
      </c>
      <c r="D211" s="59" t="inlineStr">
        <is>
          <t>Interest Remaining</t>
        </is>
      </c>
    </row>
    <row r="212" ht="15" customHeight="1">
      <c r="A212" s="57" t="inlineStr">
        <is>
          <t>OLAP</t>
        </is>
      </c>
      <c r="B212" s="59" t="inlineStr">
        <is>
          <t>Reporting Charges</t>
        </is>
      </c>
      <c r="C212" s="57" t="n">
        <v>15</v>
      </c>
      <c r="D212" s="59" t="inlineStr">
        <is>
          <t>Amount Remaining</t>
        </is>
      </c>
    </row>
    <row r="213" ht="15" customHeight="1">
      <c r="A213" s="57" t="inlineStr">
        <is>
          <t>OLAP</t>
        </is>
      </c>
      <c r="B213" s="59" t="inlineStr">
        <is>
          <t>Reporting Charges</t>
        </is>
      </c>
      <c r="C213" s="57" t="n">
        <v>16</v>
      </c>
      <c r="D213" s="59" t="inlineStr">
        <is>
          <t>Payment Status</t>
        </is>
      </c>
    </row>
    <row r="214" ht="15" customHeight="1">
      <c r="A214" s="57" t="inlineStr">
        <is>
          <t>OLAP</t>
        </is>
      </c>
      <c r="B214" s="59" t="inlineStr">
        <is>
          <t>Reporting Charges</t>
        </is>
      </c>
      <c r="C214" s="57" t="n">
        <v>17</v>
      </c>
      <c r="D214" s="59" t="inlineStr">
        <is>
          <t>Days Late</t>
        </is>
      </c>
    </row>
    <row r="215" ht="15" customHeight="1">
      <c r="A215" s="57" t="inlineStr">
        <is>
          <t>OLAP</t>
        </is>
      </c>
      <c r="B215" s="59" t="inlineStr">
        <is>
          <t>Reporting Charges</t>
        </is>
      </c>
      <c r="C215" s="57" t="n">
        <v>18</v>
      </c>
      <c r="D215" s="59" t="inlineStr">
        <is>
          <t>Historical On Time</t>
        </is>
      </c>
    </row>
    <row r="216" ht="15" customHeight="1">
      <c r="A216" s="57" t="inlineStr">
        <is>
          <t>OLAP</t>
        </is>
      </c>
      <c r="B216" s="59" t="inlineStr">
        <is>
          <t>Reporting Charges</t>
        </is>
      </c>
      <c r="C216" s="57" t="n">
        <v>19</v>
      </c>
      <c r="D216" s="59" t="inlineStr">
        <is>
          <t>Historical Late</t>
        </is>
      </c>
    </row>
    <row r="217" ht="15" customHeight="1">
      <c r="A217" s="57" t="inlineStr">
        <is>
          <t>OLAP</t>
        </is>
      </c>
      <c r="B217" s="59" t="inlineStr">
        <is>
          <t>Reporting Charges</t>
        </is>
      </c>
      <c r="C217" s="57" t="n">
        <v>20</v>
      </c>
      <c r="D217" s="59" t="inlineStr">
        <is>
          <t>Borrower Name</t>
        </is>
      </c>
    </row>
    <row r="218" ht="15" customHeight="1">
      <c r="A218" s="57" t="inlineStr">
        <is>
          <t>OLAP</t>
        </is>
      </c>
      <c r="B218" s="59" t="inlineStr">
        <is>
          <t>Daily Analytics 7 Days</t>
        </is>
      </c>
      <c r="C218" s="57" t="n">
        <v>1</v>
      </c>
      <c r="D218" s="59" t="inlineStr">
        <is>
          <t>_RowNumber</t>
        </is>
      </c>
    </row>
    <row r="219" ht="15" customHeight="1">
      <c r="A219" s="57" t="inlineStr">
        <is>
          <t>OLAP</t>
        </is>
      </c>
      <c r="B219" s="59" t="inlineStr">
        <is>
          <t>Daily Analytics 7 Days</t>
        </is>
      </c>
      <c r="C219" s="57" t="n">
        <v>2</v>
      </c>
      <c r="D219" s="59" t="inlineStr">
        <is>
          <t>Row ID</t>
        </is>
      </c>
    </row>
    <row r="220" ht="15" customHeight="1">
      <c r="A220" s="57" t="inlineStr">
        <is>
          <t>OLAP</t>
        </is>
      </c>
      <c r="B220" s="59" t="inlineStr">
        <is>
          <t>Daily Analytics 7 Days</t>
        </is>
      </c>
      <c r="C220" s="57" t="n">
        <v>3</v>
      </c>
      <c r="D220" s="59" t="inlineStr">
        <is>
          <t>Snapshot Date</t>
        </is>
      </c>
    </row>
    <row r="221" ht="15" customHeight="1">
      <c r="A221" s="57" t="inlineStr">
        <is>
          <t>OLAP</t>
        </is>
      </c>
      <c r="B221" s="59" t="inlineStr">
        <is>
          <t>Daily Analytics 7 Days</t>
        </is>
      </c>
      <c r="C221" s="57" t="n">
        <v>4</v>
      </c>
      <c r="D221" s="59" t="inlineStr">
        <is>
          <t>Generated At</t>
        </is>
      </c>
    </row>
    <row r="222" ht="15" customHeight="1">
      <c r="A222" s="57" t="inlineStr">
        <is>
          <t>OLAP</t>
        </is>
      </c>
      <c r="B222" s="59" t="inlineStr">
        <is>
          <t>Daily Analytics 7 Days</t>
        </is>
      </c>
      <c r="C222" s="57" t="n">
        <v>5</v>
      </c>
      <c r="D222" s="59" t="inlineStr">
        <is>
          <t>Model Version</t>
        </is>
      </c>
    </row>
    <row r="223" ht="15" customHeight="1">
      <c r="A223" s="57" t="inlineStr">
        <is>
          <t>OLAP</t>
        </is>
      </c>
      <c r="B223" s="59" t="inlineStr">
        <is>
          <t>Daily Analytics 7 Days</t>
        </is>
      </c>
      <c r="C223" s="57" t="n">
        <v>6</v>
      </c>
      <c r="D223" s="59" t="inlineStr">
        <is>
          <t>Principal Issued</t>
        </is>
      </c>
    </row>
    <row r="224" ht="15" customHeight="1">
      <c r="A224" s="57" t="inlineStr">
        <is>
          <t>OLAP</t>
        </is>
      </c>
      <c r="B224" s="59" t="inlineStr">
        <is>
          <t>Daily Analytics 7 Days</t>
        </is>
      </c>
      <c r="C224" s="57" t="n">
        <v>7</v>
      </c>
      <c r="D224" s="59" t="inlineStr">
        <is>
          <t>Loans Issued</t>
        </is>
      </c>
    </row>
    <row r="225" ht="15" customHeight="1">
      <c r="A225" s="57" t="inlineStr">
        <is>
          <t>OLAP</t>
        </is>
      </c>
      <c r="B225" s="59" t="inlineStr">
        <is>
          <t>Daily Analytics 7 Days</t>
        </is>
      </c>
      <c r="C225" s="57" t="n">
        <v>8</v>
      </c>
      <c r="D225" s="59" t="inlineStr">
        <is>
          <t>Principal Returned</t>
        </is>
      </c>
    </row>
    <row r="226" ht="15" customHeight="1">
      <c r="A226" s="57" t="inlineStr">
        <is>
          <t>OLAP</t>
        </is>
      </c>
      <c r="B226" s="59" t="inlineStr">
        <is>
          <t>Daily Analytics 7 Days</t>
        </is>
      </c>
      <c r="C226" s="57" t="n">
        <v>9</v>
      </c>
      <c r="D226" s="59" t="inlineStr">
        <is>
          <t>Interest Received</t>
        </is>
      </c>
    </row>
    <row r="227" ht="15" customHeight="1">
      <c r="A227" s="57" t="inlineStr">
        <is>
          <t>OLAP</t>
        </is>
      </c>
      <c r="B227" s="59" t="inlineStr">
        <is>
          <t>Daily Analytics 7 Days</t>
        </is>
      </c>
      <c r="C227" s="57" t="n">
        <v>10</v>
      </c>
      <c r="D227" s="59" t="inlineStr">
        <is>
          <t>Repayments Count</t>
        </is>
      </c>
    </row>
    <row r="228" ht="15" customHeight="1">
      <c r="A228" s="57" t="inlineStr">
        <is>
          <t>OLAP</t>
        </is>
      </c>
      <c r="B228" s="59" t="inlineStr">
        <is>
          <t>Daily Analytics 7 Days</t>
        </is>
      </c>
      <c r="C228" s="57" t="n">
        <v>11</v>
      </c>
      <c r="D228" s="59" t="inlineStr">
        <is>
          <t>Outstanding Principal EOD</t>
        </is>
      </c>
    </row>
    <row r="229" ht="15" customHeight="1">
      <c r="A229" s="57" t="inlineStr">
        <is>
          <t>OLAP</t>
        </is>
      </c>
      <c r="B229" s="59" t="inlineStr">
        <is>
          <t>Daily Analytics 7 Days</t>
        </is>
      </c>
      <c r="C229" s="57" t="n">
        <v>12</v>
      </c>
      <c r="D229" s="59" t="inlineStr">
        <is>
          <t>Active Loans EOD</t>
        </is>
      </c>
    </row>
    <row r="230" ht="15" customHeight="1">
      <c r="A230" s="57" t="inlineStr">
        <is>
          <t>OLAP</t>
        </is>
      </c>
      <c r="B230" s="59" t="inlineStr">
        <is>
          <t>Daily Analytics 7 Days</t>
        </is>
      </c>
      <c r="C230" s="57" t="n">
        <v>13</v>
      </c>
      <c r="D230" s="59" t="inlineStr">
        <is>
          <t>Active Borrowers EOD</t>
        </is>
      </c>
    </row>
    <row r="231" ht="15" customHeight="1">
      <c r="A231" s="57" t="inlineStr">
        <is>
          <t>OLAP</t>
        </is>
      </c>
      <c r="B231" s="59" t="inlineStr">
        <is>
          <t>Daily Analytics 7 Days</t>
        </is>
      </c>
      <c r="C231" s="57" t="n">
        <v>14</v>
      </c>
      <c r="D231" s="59" t="inlineStr">
        <is>
          <t>Pending Charges EOD</t>
        </is>
      </c>
    </row>
    <row r="232" ht="15" customHeight="1">
      <c r="A232" s="57" t="inlineStr">
        <is>
          <t>OLAP</t>
        </is>
      </c>
      <c r="B232" s="59" t="inlineStr">
        <is>
          <t>Daily Analytics 7 Days</t>
        </is>
      </c>
      <c r="C232" s="57" t="n">
        <v>15</v>
      </c>
      <c r="D232" s="59" t="inlineStr">
        <is>
          <t>Total Cash Pool EOD</t>
        </is>
      </c>
    </row>
    <row r="233" ht="15" customHeight="1">
      <c r="A233" s="57" t="inlineStr">
        <is>
          <t>OLAP</t>
        </is>
      </c>
      <c r="B233" s="59" t="inlineStr">
        <is>
          <t>Daily Analytics 7 Days</t>
        </is>
      </c>
      <c r="C233" s="57" t="n">
        <v>16</v>
      </c>
      <c r="D233" s="59" t="inlineStr">
        <is>
          <t>Available Cash EOD</t>
        </is>
      </c>
    </row>
    <row r="234" ht="15" customHeight="1">
      <c r="A234" s="57" t="inlineStr">
        <is>
          <t>OLAP</t>
        </is>
      </c>
      <c r="B234" s="59" t="inlineStr">
        <is>
          <t>Daily Analytics 7 Days</t>
        </is>
      </c>
      <c r="C234" s="57" t="n">
        <v>17</v>
      </c>
      <c r="D234" s="59" t="inlineStr">
        <is>
          <t>Unsettled Profit EOD</t>
        </is>
      </c>
    </row>
    <row r="235" ht="15" customHeight="1">
      <c r="A235" s="57" t="inlineStr">
        <is>
          <t>OLAP</t>
        </is>
      </c>
      <c r="B235" s="59" t="inlineStr">
        <is>
          <t>Daily Analytics 7 Days</t>
        </is>
      </c>
      <c r="C235" s="57" t="n">
        <v>18</v>
      </c>
      <c r="D235" s="59" t="inlineStr">
        <is>
          <t>Week</t>
        </is>
      </c>
    </row>
    <row r="236" ht="15" customHeight="1">
      <c r="A236" s="57" t="inlineStr">
        <is>
          <t>OLAP</t>
        </is>
      </c>
      <c r="B236" s="59" t="inlineStr">
        <is>
          <t>Daily Analytics 7 Days</t>
        </is>
      </c>
      <c r="C236" s="57" t="n">
        <v>19</v>
      </c>
      <c r="D236" s="59" t="inlineStr">
        <is>
          <t>Month</t>
        </is>
      </c>
    </row>
    <row r="237" ht="15" customHeight="1">
      <c r="A237" s="57" t="inlineStr">
        <is>
          <t>OLAP</t>
        </is>
      </c>
      <c r="B237" s="59" t="inlineStr">
        <is>
          <t>Daily Analytics 7 Days</t>
        </is>
      </c>
      <c r="C237" s="57" t="n">
        <v>20</v>
      </c>
      <c r="D237" s="59" t="inlineStr">
        <is>
          <t>Daily Capital Employed</t>
        </is>
      </c>
    </row>
    <row r="238" ht="15" customHeight="1">
      <c r="A238" s="57" t="inlineStr">
        <is>
          <t>OLAP</t>
        </is>
      </c>
      <c r="B238" s="59" t="inlineStr">
        <is>
          <t>Daily Analytics 7 Days</t>
        </is>
      </c>
      <c r="C238" s="57" t="n">
        <v>21</v>
      </c>
      <c r="D238" s="59" t="inlineStr">
        <is>
          <t>Daily Capital Yield</t>
        </is>
      </c>
    </row>
    <row r="239" ht="15" customHeight="1">
      <c r="A239" s="57" t="inlineStr">
        <is>
          <t>OLAP</t>
        </is>
      </c>
      <c r="B239" s="59" t="inlineStr">
        <is>
          <t>Daily Analytics 7 Days</t>
        </is>
      </c>
      <c r="C239" s="57" t="n">
        <v>22</v>
      </c>
      <c r="D239" s="59" t="inlineStr">
        <is>
          <t>Portfolio Share Join Key</t>
        </is>
      </c>
    </row>
    <row r="240" ht="15" customHeight="1">
      <c r="A240" s="57" t="inlineStr">
        <is>
          <t>OLAP</t>
        </is>
      </c>
      <c r="B240" s="59" t="inlineStr">
        <is>
          <t>Daily Analytics 7 Days</t>
        </is>
      </c>
      <c r="C240" s="57" t="n">
        <v>23</v>
      </c>
      <c r="D240" s="59" t="inlineStr">
        <is>
          <t>Portfolio Slice</t>
        </is>
      </c>
    </row>
    <row r="241" ht="15" customHeight="1">
      <c r="A241" s="57" t="inlineStr">
        <is>
          <t>OLAP</t>
        </is>
      </c>
      <c r="B241" s="59" t="inlineStr">
        <is>
          <t>Daily Analytics 30 Days</t>
        </is>
      </c>
      <c r="C241" s="57" t="n">
        <v>1</v>
      </c>
      <c r="D241" s="59" t="inlineStr">
        <is>
          <t>_RowNumber</t>
        </is>
      </c>
    </row>
    <row r="242" ht="15" customHeight="1">
      <c r="A242" s="57" t="inlineStr">
        <is>
          <t>OLAP</t>
        </is>
      </c>
      <c r="B242" s="59" t="inlineStr">
        <is>
          <t>Daily Analytics 30 Days</t>
        </is>
      </c>
      <c r="C242" s="57" t="n">
        <v>2</v>
      </c>
      <c r="D242" s="59" t="inlineStr">
        <is>
          <t>Row ID</t>
        </is>
      </c>
    </row>
    <row r="243" ht="15" customHeight="1">
      <c r="A243" s="57" t="inlineStr">
        <is>
          <t>OLAP</t>
        </is>
      </c>
      <c r="B243" s="59" t="inlineStr">
        <is>
          <t>Daily Analytics 30 Days</t>
        </is>
      </c>
      <c r="C243" s="57" t="n">
        <v>3</v>
      </c>
      <c r="D243" s="59" t="inlineStr">
        <is>
          <t>Snapshot Date</t>
        </is>
      </c>
    </row>
    <row r="244" ht="15" customHeight="1">
      <c r="A244" s="57" t="inlineStr">
        <is>
          <t>OLAP</t>
        </is>
      </c>
      <c r="B244" s="59" t="inlineStr">
        <is>
          <t>Daily Analytics 30 Days</t>
        </is>
      </c>
      <c r="C244" s="57" t="n">
        <v>4</v>
      </c>
      <c r="D244" s="59" t="inlineStr">
        <is>
          <t>Generated At</t>
        </is>
      </c>
    </row>
    <row r="245" ht="15" customHeight="1">
      <c r="A245" s="57" t="inlineStr">
        <is>
          <t>OLAP</t>
        </is>
      </c>
      <c r="B245" s="59" t="inlineStr">
        <is>
          <t>Daily Analytics 30 Days</t>
        </is>
      </c>
      <c r="C245" s="57" t="n">
        <v>5</v>
      </c>
      <c r="D245" s="59" t="inlineStr">
        <is>
          <t>Model Version</t>
        </is>
      </c>
    </row>
    <row r="246" ht="15" customHeight="1">
      <c r="A246" s="57" t="inlineStr">
        <is>
          <t>OLAP</t>
        </is>
      </c>
      <c r="B246" s="59" t="inlineStr">
        <is>
          <t>Daily Analytics 30 Days</t>
        </is>
      </c>
      <c r="C246" s="57" t="n">
        <v>6</v>
      </c>
      <c r="D246" s="59" t="inlineStr">
        <is>
          <t>Principal Issued</t>
        </is>
      </c>
    </row>
    <row r="247" ht="15" customHeight="1">
      <c r="A247" s="57" t="inlineStr">
        <is>
          <t>OLAP</t>
        </is>
      </c>
      <c r="B247" s="59" t="inlineStr">
        <is>
          <t>Daily Analytics 30 Days</t>
        </is>
      </c>
      <c r="C247" s="57" t="n">
        <v>7</v>
      </c>
      <c r="D247" s="59" t="inlineStr">
        <is>
          <t>Loans Issued</t>
        </is>
      </c>
    </row>
    <row r="248" ht="15" customHeight="1">
      <c r="A248" s="57" t="inlineStr">
        <is>
          <t>OLAP</t>
        </is>
      </c>
      <c r="B248" s="59" t="inlineStr">
        <is>
          <t>Daily Analytics 30 Days</t>
        </is>
      </c>
      <c r="C248" s="57" t="n">
        <v>8</v>
      </c>
      <c r="D248" s="59" t="inlineStr">
        <is>
          <t>Principal Returned</t>
        </is>
      </c>
    </row>
    <row r="249" ht="15" customHeight="1">
      <c r="A249" s="57" t="inlineStr">
        <is>
          <t>OLAP</t>
        </is>
      </c>
      <c r="B249" s="59" t="inlineStr">
        <is>
          <t>Daily Analytics 30 Days</t>
        </is>
      </c>
      <c r="C249" s="57" t="n">
        <v>9</v>
      </c>
      <c r="D249" s="59" t="inlineStr">
        <is>
          <t>Interest Received</t>
        </is>
      </c>
    </row>
    <row r="250" ht="15" customHeight="1">
      <c r="A250" s="57" t="inlineStr">
        <is>
          <t>OLAP</t>
        </is>
      </c>
      <c r="B250" s="59" t="inlineStr">
        <is>
          <t>Daily Analytics 30 Days</t>
        </is>
      </c>
      <c r="C250" s="57" t="n">
        <v>10</v>
      </c>
      <c r="D250" s="59" t="inlineStr">
        <is>
          <t>Repayments Count</t>
        </is>
      </c>
    </row>
    <row r="251" ht="15" customHeight="1">
      <c r="A251" s="57" t="inlineStr">
        <is>
          <t>OLAP</t>
        </is>
      </c>
      <c r="B251" s="59" t="inlineStr">
        <is>
          <t>Daily Analytics 30 Days</t>
        </is>
      </c>
      <c r="C251" s="57" t="n">
        <v>11</v>
      </c>
      <c r="D251" s="59" t="inlineStr">
        <is>
          <t>Outstanding Principal EOD</t>
        </is>
      </c>
    </row>
    <row r="252" ht="15" customHeight="1">
      <c r="A252" s="57" t="inlineStr">
        <is>
          <t>OLAP</t>
        </is>
      </c>
      <c r="B252" s="59" t="inlineStr">
        <is>
          <t>Daily Analytics 30 Days</t>
        </is>
      </c>
      <c r="C252" s="57" t="n">
        <v>12</v>
      </c>
      <c r="D252" s="59" t="inlineStr">
        <is>
          <t>Active Loans EOD</t>
        </is>
      </c>
    </row>
    <row r="253" ht="15" customHeight="1">
      <c r="A253" s="57" t="inlineStr">
        <is>
          <t>OLAP</t>
        </is>
      </c>
      <c r="B253" s="59" t="inlineStr">
        <is>
          <t>Daily Analytics 30 Days</t>
        </is>
      </c>
      <c r="C253" s="57" t="n">
        <v>13</v>
      </c>
      <c r="D253" s="59" t="inlineStr">
        <is>
          <t>Active Borrowers EOD</t>
        </is>
      </c>
    </row>
    <row r="254" ht="15" customHeight="1">
      <c r="A254" s="57" t="inlineStr">
        <is>
          <t>OLAP</t>
        </is>
      </c>
      <c r="B254" s="59" t="inlineStr">
        <is>
          <t>Daily Analytics 30 Days</t>
        </is>
      </c>
      <c r="C254" s="57" t="n">
        <v>14</v>
      </c>
      <c r="D254" s="59" t="inlineStr">
        <is>
          <t>Pending Charges EOD</t>
        </is>
      </c>
    </row>
    <row r="255" ht="15" customHeight="1">
      <c r="A255" s="57" t="inlineStr">
        <is>
          <t>OLAP</t>
        </is>
      </c>
      <c r="B255" s="59" t="inlineStr">
        <is>
          <t>Daily Analytics 30 Days</t>
        </is>
      </c>
      <c r="C255" s="57" t="n">
        <v>15</v>
      </c>
      <c r="D255" s="59" t="inlineStr">
        <is>
          <t>Total Cash Pool EOD</t>
        </is>
      </c>
    </row>
    <row r="256" ht="15" customHeight="1">
      <c r="A256" s="57" t="inlineStr">
        <is>
          <t>OLAP</t>
        </is>
      </c>
      <c r="B256" s="59" t="inlineStr">
        <is>
          <t>Daily Analytics 30 Days</t>
        </is>
      </c>
      <c r="C256" s="57" t="n">
        <v>16</v>
      </c>
      <c r="D256" s="59" t="inlineStr">
        <is>
          <t>Available Cash EOD</t>
        </is>
      </c>
    </row>
    <row r="257" ht="15" customHeight="1">
      <c r="A257" s="57" t="inlineStr">
        <is>
          <t>OLAP</t>
        </is>
      </c>
      <c r="B257" s="59" t="inlineStr">
        <is>
          <t>Daily Analytics 30 Days</t>
        </is>
      </c>
      <c r="C257" s="57" t="n">
        <v>17</v>
      </c>
      <c r="D257" s="59" t="inlineStr">
        <is>
          <t>Unsettled Profit EOD</t>
        </is>
      </c>
    </row>
    <row r="258" ht="15" customHeight="1">
      <c r="A258" s="57" t="inlineStr">
        <is>
          <t>OLAP</t>
        </is>
      </c>
      <c r="B258" s="59" t="inlineStr">
        <is>
          <t>Daily Analytics 30 Days</t>
        </is>
      </c>
      <c r="C258" s="57" t="n">
        <v>18</v>
      </c>
      <c r="D258" s="59" t="inlineStr">
        <is>
          <t>Week</t>
        </is>
      </c>
    </row>
    <row r="259" ht="15" customHeight="1">
      <c r="A259" s="57" t="inlineStr">
        <is>
          <t>OLAP</t>
        </is>
      </c>
      <c r="B259" s="59" t="inlineStr">
        <is>
          <t>Daily Analytics 30 Days</t>
        </is>
      </c>
      <c r="C259" s="57" t="n">
        <v>19</v>
      </c>
      <c r="D259" s="59" t="inlineStr">
        <is>
          <t>Month</t>
        </is>
      </c>
    </row>
    <row r="260" ht="15" customHeight="1">
      <c r="A260" s="57" t="inlineStr">
        <is>
          <t>OLAP</t>
        </is>
      </c>
      <c r="B260" s="59" t="inlineStr">
        <is>
          <t>Daily Analytics 30 Days</t>
        </is>
      </c>
      <c r="C260" s="57" t="n">
        <v>20</v>
      </c>
      <c r="D260" s="59" t="inlineStr">
        <is>
          <t>Daily Capital Employed</t>
        </is>
      </c>
    </row>
    <row r="261" ht="15" customHeight="1">
      <c r="A261" s="57" t="inlineStr">
        <is>
          <t>OLAP</t>
        </is>
      </c>
      <c r="B261" s="59" t="inlineStr">
        <is>
          <t>Daily Analytics 30 Days</t>
        </is>
      </c>
      <c r="C261" s="57" t="n">
        <v>21</v>
      </c>
      <c r="D261" s="59" t="inlineStr">
        <is>
          <t>Daily Capital Yield</t>
        </is>
      </c>
    </row>
    <row r="262" ht="15" customHeight="1">
      <c r="A262" s="57" t="inlineStr">
        <is>
          <t>OLAP</t>
        </is>
      </c>
      <c r="B262" s="59" t="inlineStr">
        <is>
          <t>Daily Analytics 30 Days</t>
        </is>
      </c>
      <c r="C262" s="57" t="n">
        <v>22</v>
      </c>
      <c r="D262" s="59" t="inlineStr">
        <is>
          <t>Portfolio Share Join Key</t>
        </is>
      </c>
    </row>
    <row r="263" ht="15" customHeight="1">
      <c r="A263" s="57" t="inlineStr">
        <is>
          <t>OLAP</t>
        </is>
      </c>
      <c r="B263" s="59" t="inlineStr">
        <is>
          <t>Daily Analytics 30 Days</t>
        </is>
      </c>
      <c r="C263" s="57" t="n">
        <v>23</v>
      </c>
      <c r="D263" s="59" t="inlineStr">
        <is>
          <t>Portfolio Slice</t>
        </is>
      </c>
    </row>
    <row r="264" ht="15" customHeight="1">
      <c r="A264" s="57" t="inlineStr">
        <is>
          <t>OLAP</t>
        </is>
      </c>
      <c r="B264" s="59" t="inlineStr">
        <is>
          <t>Daily Analytics 90 Days</t>
        </is>
      </c>
      <c r="C264" s="57" t="n">
        <v>1</v>
      </c>
      <c r="D264" s="59" t="inlineStr">
        <is>
          <t>_RowNumber</t>
        </is>
      </c>
    </row>
    <row r="265" ht="15" customHeight="1">
      <c r="A265" s="57" t="inlineStr">
        <is>
          <t>OLAP</t>
        </is>
      </c>
      <c r="B265" s="59" t="inlineStr">
        <is>
          <t>Daily Analytics 90 Days</t>
        </is>
      </c>
      <c r="C265" s="57" t="n">
        <v>2</v>
      </c>
      <c r="D265" s="59" t="inlineStr">
        <is>
          <t>Row ID</t>
        </is>
      </c>
    </row>
    <row r="266" ht="15" customHeight="1">
      <c r="A266" s="57" t="inlineStr">
        <is>
          <t>OLAP</t>
        </is>
      </c>
      <c r="B266" s="59" t="inlineStr">
        <is>
          <t>Daily Analytics 90 Days</t>
        </is>
      </c>
      <c r="C266" s="57" t="n">
        <v>3</v>
      </c>
      <c r="D266" s="59" t="inlineStr">
        <is>
          <t>Snapshot Date</t>
        </is>
      </c>
    </row>
    <row r="267" ht="15" customHeight="1">
      <c r="A267" s="57" t="inlineStr">
        <is>
          <t>OLAP</t>
        </is>
      </c>
      <c r="B267" s="59" t="inlineStr">
        <is>
          <t>Daily Analytics 90 Days</t>
        </is>
      </c>
      <c r="C267" s="57" t="n">
        <v>4</v>
      </c>
      <c r="D267" s="59" t="inlineStr">
        <is>
          <t>Generated At</t>
        </is>
      </c>
    </row>
    <row r="268" ht="15" customHeight="1">
      <c r="A268" s="57" t="inlineStr">
        <is>
          <t>OLAP</t>
        </is>
      </c>
      <c r="B268" s="59" t="inlineStr">
        <is>
          <t>Daily Analytics 90 Days</t>
        </is>
      </c>
      <c r="C268" s="57" t="n">
        <v>5</v>
      </c>
      <c r="D268" s="59" t="inlineStr">
        <is>
          <t>Model Version</t>
        </is>
      </c>
    </row>
    <row r="269" ht="15" customHeight="1">
      <c r="A269" s="57" t="inlineStr">
        <is>
          <t>OLAP</t>
        </is>
      </c>
      <c r="B269" s="59" t="inlineStr">
        <is>
          <t>Daily Analytics 90 Days</t>
        </is>
      </c>
      <c r="C269" s="57" t="n">
        <v>6</v>
      </c>
      <c r="D269" s="59" t="inlineStr">
        <is>
          <t>Principal Issued</t>
        </is>
      </c>
    </row>
    <row r="270" ht="15" customHeight="1">
      <c r="A270" s="57" t="inlineStr">
        <is>
          <t>OLAP</t>
        </is>
      </c>
      <c r="B270" s="59" t="inlineStr">
        <is>
          <t>Daily Analytics 90 Days</t>
        </is>
      </c>
      <c r="C270" s="57" t="n">
        <v>7</v>
      </c>
      <c r="D270" s="59" t="inlineStr">
        <is>
          <t>Loans Issued</t>
        </is>
      </c>
    </row>
    <row r="271" ht="15" customHeight="1">
      <c r="A271" s="57" t="inlineStr">
        <is>
          <t>OLAP</t>
        </is>
      </c>
      <c r="B271" s="59" t="inlineStr">
        <is>
          <t>Daily Analytics 90 Days</t>
        </is>
      </c>
      <c r="C271" s="57" t="n">
        <v>8</v>
      </c>
      <c r="D271" s="59" t="inlineStr">
        <is>
          <t>Principal Returned</t>
        </is>
      </c>
    </row>
    <row r="272" ht="15" customHeight="1">
      <c r="A272" s="57" t="inlineStr">
        <is>
          <t>OLAP</t>
        </is>
      </c>
      <c r="B272" s="59" t="inlineStr">
        <is>
          <t>Daily Analytics 90 Days</t>
        </is>
      </c>
      <c r="C272" s="57" t="n">
        <v>9</v>
      </c>
      <c r="D272" s="59" t="inlineStr">
        <is>
          <t>Interest Received</t>
        </is>
      </c>
    </row>
    <row r="273" ht="15" customHeight="1">
      <c r="A273" s="57" t="inlineStr">
        <is>
          <t>OLAP</t>
        </is>
      </c>
      <c r="B273" s="59" t="inlineStr">
        <is>
          <t>Daily Analytics 90 Days</t>
        </is>
      </c>
      <c r="C273" s="57" t="n">
        <v>10</v>
      </c>
      <c r="D273" s="59" t="inlineStr">
        <is>
          <t>Repayments Count</t>
        </is>
      </c>
    </row>
    <row r="274" ht="15" customHeight="1">
      <c r="A274" s="57" t="inlineStr">
        <is>
          <t>OLAP</t>
        </is>
      </c>
      <c r="B274" s="59" t="inlineStr">
        <is>
          <t>Daily Analytics 90 Days</t>
        </is>
      </c>
      <c r="C274" s="57" t="n">
        <v>11</v>
      </c>
      <c r="D274" s="59" t="inlineStr">
        <is>
          <t>Outstanding Principal EOD</t>
        </is>
      </c>
    </row>
    <row r="275" ht="15" customHeight="1">
      <c r="A275" s="57" t="inlineStr">
        <is>
          <t>OLAP</t>
        </is>
      </c>
      <c r="B275" s="59" t="inlineStr">
        <is>
          <t>Daily Analytics 90 Days</t>
        </is>
      </c>
      <c r="C275" s="57" t="n">
        <v>12</v>
      </c>
      <c r="D275" s="59" t="inlineStr">
        <is>
          <t>Active Loans EOD</t>
        </is>
      </c>
    </row>
    <row r="276" ht="15" customHeight="1">
      <c r="A276" s="57" t="inlineStr">
        <is>
          <t>OLAP</t>
        </is>
      </c>
      <c r="B276" s="59" t="inlineStr">
        <is>
          <t>Daily Analytics 90 Days</t>
        </is>
      </c>
      <c r="C276" s="57" t="n">
        <v>13</v>
      </c>
      <c r="D276" s="59" t="inlineStr">
        <is>
          <t>Active Borrowers EOD</t>
        </is>
      </c>
    </row>
    <row r="277" ht="15" customHeight="1">
      <c r="A277" s="57" t="inlineStr">
        <is>
          <t>OLAP</t>
        </is>
      </c>
      <c r="B277" s="59" t="inlineStr">
        <is>
          <t>Daily Analytics 90 Days</t>
        </is>
      </c>
      <c r="C277" s="57" t="n">
        <v>14</v>
      </c>
      <c r="D277" s="59" t="inlineStr">
        <is>
          <t>Pending Charges EOD</t>
        </is>
      </c>
    </row>
    <row r="278" ht="15" customHeight="1">
      <c r="A278" s="57" t="inlineStr">
        <is>
          <t>OLAP</t>
        </is>
      </c>
      <c r="B278" s="59" t="inlineStr">
        <is>
          <t>Daily Analytics 90 Days</t>
        </is>
      </c>
      <c r="C278" s="57" t="n">
        <v>15</v>
      </c>
      <c r="D278" s="59" t="inlineStr">
        <is>
          <t>Total Cash Pool EOD</t>
        </is>
      </c>
    </row>
    <row r="279" ht="15" customHeight="1">
      <c r="A279" s="57" t="inlineStr">
        <is>
          <t>OLAP</t>
        </is>
      </c>
      <c r="B279" s="59" t="inlineStr">
        <is>
          <t>Daily Analytics 90 Days</t>
        </is>
      </c>
      <c r="C279" s="57" t="n">
        <v>16</v>
      </c>
      <c r="D279" s="59" t="inlineStr">
        <is>
          <t>Available Cash EOD</t>
        </is>
      </c>
    </row>
    <row r="280" ht="15" customHeight="1">
      <c r="A280" s="57" t="inlineStr">
        <is>
          <t>OLAP</t>
        </is>
      </c>
      <c r="B280" s="59" t="inlineStr">
        <is>
          <t>Daily Analytics 90 Days</t>
        </is>
      </c>
      <c r="C280" s="57" t="n">
        <v>17</v>
      </c>
      <c r="D280" s="59" t="inlineStr">
        <is>
          <t>Unsettled Profit EOD</t>
        </is>
      </c>
    </row>
    <row r="281" ht="15" customHeight="1">
      <c r="A281" s="57" t="inlineStr">
        <is>
          <t>OLAP</t>
        </is>
      </c>
      <c r="B281" s="59" t="inlineStr">
        <is>
          <t>Daily Analytics 90 Days</t>
        </is>
      </c>
      <c r="C281" s="57" t="n">
        <v>18</v>
      </c>
      <c r="D281" s="59" t="inlineStr">
        <is>
          <t>Week</t>
        </is>
      </c>
    </row>
    <row r="282" ht="15" customHeight="1">
      <c r="A282" s="57" t="inlineStr">
        <is>
          <t>OLAP</t>
        </is>
      </c>
      <c r="B282" s="59" t="inlineStr">
        <is>
          <t>Daily Analytics 90 Days</t>
        </is>
      </c>
      <c r="C282" s="57" t="n">
        <v>19</v>
      </c>
      <c r="D282" s="59" t="inlineStr">
        <is>
          <t>Month</t>
        </is>
      </c>
    </row>
    <row r="283" ht="15" customHeight="1">
      <c r="A283" s="57" t="inlineStr">
        <is>
          <t>OLAP</t>
        </is>
      </c>
      <c r="B283" s="59" t="inlineStr">
        <is>
          <t>Daily Analytics 90 Days</t>
        </is>
      </c>
      <c r="C283" s="57" t="n">
        <v>20</v>
      </c>
      <c r="D283" s="59" t="inlineStr">
        <is>
          <t>Daily Capital Employed</t>
        </is>
      </c>
    </row>
    <row r="284" ht="15" customHeight="1">
      <c r="A284" s="57" t="inlineStr">
        <is>
          <t>OLAP</t>
        </is>
      </c>
      <c r="B284" s="59" t="inlineStr">
        <is>
          <t>Daily Analytics 90 Days</t>
        </is>
      </c>
      <c r="C284" s="57" t="n">
        <v>21</v>
      </c>
      <c r="D284" s="59" t="inlineStr">
        <is>
          <t>Daily Capital Yield</t>
        </is>
      </c>
    </row>
    <row r="285" ht="15" customHeight="1">
      <c r="A285" s="57" t="inlineStr">
        <is>
          <t>OLAP</t>
        </is>
      </c>
      <c r="B285" s="59" t="inlineStr">
        <is>
          <t>Daily Analytics 90 Days</t>
        </is>
      </c>
      <c r="C285" s="57" t="n">
        <v>22</v>
      </c>
      <c r="D285" s="59" t="inlineStr">
        <is>
          <t>Portfolio Share Join Key</t>
        </is>
      </c>
    </row>
    <row r="286" ht="15" customHeight="1">
      <c r="A286" s="57" t="inlineStr">
        <is>
          <t>OLAP</t>
        </is>
      </c>
      <c r="B286" s="59" t="inlineStr">
        <is>
          <t>Daily Analytics 90 Days</t>
        </is>
      </c>
      <c r="C286" s="57" t="n">
        <v>23</v>
      </c>
      <c r="D286" s="59" t="inlineStr">
        <is>
          <t>Portfolio Slice</t>
        </is>
      </c>
    </row>
    <row r="287" ht="15" customHeight="1">
      <c r="A287" s="57" t="inlineStr">
        <is>
          <t>OLAP</t>
        </is>
      </c>
      <c r="B287" s="59" t="inlineStr">
        <is>
          <t>Reporting Daily Analytics</t>
        </is>
      </c>
      <c r="C287" s="57" t="n">
        <v>1</v>
      </c>
      <c r="D287" s="59" t="inlineStr">
        <is>
          <t>_RowNumber</t>
        </is>
      </c>
    </row>
    <row r="288" ht="15" customHeight="1">
      <c r="A288" s="57" t="inlineStr">
        <is>
          <t>OLAP</t>
        </is>
      </c>
      <c r="B288" s="59" t="inlineStr">
        <is>
          <t>Reporting Daily Analytics</t>
        </is>
      </c>
      <c r="C288" s="57" t="n">
        <v>2</v>
      </c>
      <c r="D288" s="59" t="inlineStr">
        <is>
          <t>Row ID</t>
        </is>
      </c>
    </row>
    <row r="289" ht="15" customHeight="1">
      <c r="A289" s="57" t="inlineStr">
        <is>
          <t>OLAP</t>
        </is>
      </c>
      <c r="B289" s="59" t="inlineStr">
        <is>
          <t>Reporting Daily Analytics</t>
        </is>
      </c>
      <c r="C289" s="57" t="n">
        <v>3</v>
      </c>
      <c r="D289" s="59" t="inlineStr">
        <is>
          <t>Snapshot Date</t>
        </is>
      </c>
    </row>
    <row r="290" ht="15" customHeight="1">
      <c r="A290" s="57" t="inlineStr">
        <is>
          <t>OLAP</t>
        </is>
      </c>
      <c r="B290" s="59" t="inlineStr">
        <is>
          <t>Reporting Daily Analytics</t>
        </is>
      </c>
      <c r="C290" s="57" t="n">
        <v>4</v>
      </c>
      <c r="D290" s="59" t="inlineStr">
        <is>
          <t>Principal Issued</t>
        </is>
      </c>
    </row>
    <row r="291" ht="15" customHeight="1">
      <c r="A291" s="57" t="inlineStr">
        <is>
          <t>OLAP</t>
        </is>
      </c>
      <c r="B291" s="59" t="inlineStr">
        <is>
          <t>Reporting Daily Analytics</t>
        </is>
      </c>
      <c r="C291" s="57" t="n">
        <v>5</v>
      </c>
      <c r="D291" s="59" t="inlineStr">
        <is>
          <t>Principal Returned</t>
        </is>
      </c>
    </row>
    <row r="292" ht="15" customHeight="1">
      <c r="A292" s="57" t="inlineStr">
        <is>
          <t>OLAP</t>
        </is>
      </c>
      <c r="B292" s="59" t="inlineStr">
        <is>
          <t>Reporting Daily Analytics</t>
        </is>
      </c>
      <c r="C292" s="57" t="n">
        <v>6</v>
      </c>
      <c r="D292" s="59" t="inlineStr">
        <is>
          <t>Interest Received</t>
        </is>
      </c>
    </row>
    <row r="293" ht="15" customHeight="1">
      <c r="A293" s="57" t="inlineStr">
        <is>
          <t>OLAP</t>
        </is>
      </c>
      <c r="B293" s="59" t="inlineStr">
        <is>
          <t>Reporting Daily Analytics</t>
        </is>
      </c>
      <c r="C293" s="57" t="n">
        <v>7</v>
      </c>
      <c r="D293" s="59" t="inlineStr">
        <is>
          <t>Outstanding Principal EOD</t>
        </is>
      </c>
    </row>
    <row r="294" ht="15" customHeight="1">
      <c r="A294" s="57" t="inlineStr">
        <is>
          <t>OLAP</t>
        </is>
      </c>
      <c r="B294" s="59" t="inlineStr">
        <is>
          <t>Reporting Daily Analytics</t>
        </is>
      </c>
      <c r="C294" s="57" t="n">
        <v>8</v>
      </c>
      <c r="D294" s="59" t="inlineStr">
        <is>
          <t>Active Loans EOD</t>
        </is>
      </c>
    </row>
    <row r="295" ht="15" customHeight="1">
      <c r="A295" s="57" t="inlineStr">
        <is>
          <t>OLAP</t>
        </is>
      </c>
      <c r="B295" s="59" t="inlineStr">
        <is>
          <t>Reporting Daily Analytics</t>
        </is>
      </c>
      <c r="C295" s="57" t="n">
        <v>9</v>
      </c>
      <c r="D295" s="59" t="inlineStr">
        <is>
          <t>Active Borrowers EOD</t>
        </is>
      </c>
    </row>
    <row r="296" ht="15" customHeight="1">
      <c r="A296" s="57" t="inlineStr">
        <is>
          <t>OLAP</t>
        </is>
      </c>
      <c r="B296" s="59" t="inlineStr">
        <is>
          <t>Reporting Daily Analytics</t>
        </is>
      </c>
      <c r="C296" s="57" t="n">
        <v>10</v>
      </c>
      <c r="D296" s="59" t="inlineStr">
        <is>
          <t>Pending Charges EOD</t>
        </is>
      </c>
    </row>
    <row r="297" ht="15" customHeight="1">
      <c r="A297" s="57" t="inlineStr">
        <is>
          <t>OLAP</t>
        </is>
      </c>
      <c r="B297" s="59" t="inlineStr">
        <is>
          <t>Reporting Daily Analytics</t>
        </is>
      </c>
      <c r="C297" s="57" t="n">
        <v>11</v>
      </c>
      <c r="D297" s="59" t="inlineStr">
        <is>
          <t>Daily Capital Yield</t>
        </is>
      </c>
    </row>
    <row r="298" ht="15" customHeight="1">
      <c r="A298" s="57" t="inlineStr">
        <is>
          <t>OLAP</t>
        </is>
      </c>
      <c r="B298" s="59" t="inlineStr">
        <is>
          <t>Reporting Daily Analytics</t>
        </is>
      </c>
      <c r="C298" s="57" t="n">
        <v>12</v>
      </c>
      <c r="D298" s="59" t="inlineStr">
        <is>
          <t>Portfolio Share Join Key</t>
        </is>
      </c>
    </row>
    <row r="299" ht="15" customHeight="1">
      <c r="A299" s="57" t="inlineStr">
        <is>
          <t>OLAP</t>
        </is>
      </c>
      <c r="B299" s="59" t="inlineStr">
        <is>
          <t>Reporting Daily Analytics</t>
        </is>
      </c>
      <c r="C299" s="57" t="n">
        <v>13</v>
      </c>
      <c r="D299" s="59" t="inlineStr">
        <is>
          <t>Portfolio Slice</t>
        </is>
      </c>
    </row>
    <row r="300" ht="15" customHeight="1">
      <c r="A300" s="57" t="inlineStr">
        <is>
          <t>OLAP</t>
        </is>
      </c>
      <c r="B300" s="59" t="inlineStr">
        <is>
          <t>Reporting Loans</t>
        </is>
      </c>
      <c r="C300" s="57" t="n">
        <v>1</v>
      </c>
      <c r="D300" s="59" t="inlineStr">
        <is>
          <t>_RowNumber</t>
        </is>
      </c>
    </row>
    <row r="301" ht="15" customHeight="1">
      <c r="A301" s="57" t="inlineStr">
        <is>
          <t>OLAP</t>
        </is>
      </c>
      <c r="B301" s="59" t="inlineStr">
        <is>
          <t>Reporting Loans</t>
        </is>
      </c>
      <c r="C301" s="57" t="n">
        <v>2</v>
      </c>
      <c r="D301" s="59" t="inlineStr">
        <is>
          <t>Row ID</t>
        </is>
      </c>
    </row>
    <row r="302" ht="15" customHeight="1">
      <c r="A302" s="57" t="inlineStr">
        <is>
          <t>OLAP</t>
        </is>
      </c>
      <c r="B302" s="59" t="inlineStr">
        <is>
          <t>Reporting Loans</t>
        </is>
      </c>
      <c r="C302" s="57" t="n">
        <v>3</v>
      </c>
      <c r="D302" s="59" t="inlineStr">
        <is>
          <t>Loan Date</t>
        </is>
      </c>
    </row>
    <row r="303" ht="15" customHeight="1">
      <c r="A303" s="57" t="inlineStr">
        <is>
          <t>OLAP</t>
        </is>
      </c>
      <c r="B303" s="59" t="inlineStr">
        <is>
          <t>Reporting Loans</t>
        </is>
      </c>
      <c r="C303" s="57" t="n">
        <v>4</v>
      </c>
      <c r="D303" s="59" t="inlineStr">
        <is>
          <t>Close Date</t>
        </is>
      </c>
    </row>
    <row r="304" ht="15" customHeight="1">
      <c r="A304" s="57" t="inlineStr">
        <is>
          <t>OLAP</t>
        </is>
      </c>
      <c r="B304" s="59" t="inlineStr">
        <is>
          <t>Reporting Loans</t>
        </is>
      </c>
      <c r="C304" s="57" t="n">
        <v>5</v>
      </c>
      <c r="D304" s="59" t="inlineStr">
        <is>
          <t>Principal Amount</t>
        </is>
      </c>
    </row>
    <row r="305" ht="15" customHeight="1">
      <c r="A305" s="57" t="inlineStr">
        <is>
          <t>OLAP</t>
        </is>
      </c>
      <c r="B305" s="59" t="inlineStr">
        <is>
          <t>Reporting Loans</t>
        </is>
      </c>
      <c r="C305" s="57" t="n">
        <v>6</v>
      </c>
      <c r="D305" s="59" t="inlineStr">
        <is>
          <t>Due Date</t>
        </is>
      </c>
    </row>
    <row r="306" ht="15" customHeight="1">
      <c r="A306" s="57" t="inlineStr">
        <is>
          <t>OLAP</t>
        </is>
      </c>
      <c r="B306" s="59" t="inlineStr">
        <is>
          <t>Reporting Loans</t>
        </is>
      </c>
      <c r="C306" s="57" t="n">
        <v>7</v>
      </c>
      <c r="D306" s="59" t="inlineStr">
        <is>
          <t>Ref Borrowers</t>
        </is>
      </c>
    </row>
    <row r="307" ht="15" customHeight="1">
      <c r="A307" s="57" t="inlineStr">
        <is>
          <t>OLAP</t>
        </is>
      </c>
      <c r="B307" s="59" t="inlineStr">
        <is>
          <t>Reporting Loans</t>
        </is>
      </c>
      <c r="C307" s="57" t="n">
        <v>8</v>
      </c>
      <c r="D307" s="59" t="inlineStr">
        <is>
          <t>Total Interest Received</t>
        </is>
      </c>
    </row>
    <row r="308" ht="15" customHeight="1">
      <c r="A308" s="57" t="inlineStr">
        <is>
          <t>OLAP</t>
        </is>
      </c>
      <c r="B308" s="59" t="inlineStr">
        <is>
          <t>Reporting Loans</t>
        </is>
      </c>
      <c r="C308" s="57" t="n">
        <v>9</v>
      </c>
      <c r="D308" s="59" t="inlineStr">
        <is>
          <t>Total Principal Received</t>
        </is>
      </c>
    </row>
    <row r="309" ht="15" customHeight="1">
      <c r="A309" s="57" t="inlineStr">
        <is>
          <t>OLAP</t>
        </is>
      </c>
      <c r="B309" s="59" t="inlineStr">
        <is>
          <t>Reporting Loans</t>
        </is>
      </c>
      <c r="C309" s="57" t="n">
        <v>10</v>
      </c>
      <c r="D309" s="59" t="inlineStr">
        <is>
          <t>Outstanding Principal</t>
        </is>
      </c>
    </row>
    <row r="310" ht="15" customHeight="1">
      <c r="A310" s="57" t="inlineStr">
        <is>
          <t>OLAP</t>
        </is>
      </c>
      <c r="B310" s="59" t="inlineStr">
        <is>
          <t>Reporting Loans</t>
        </is>
      </c>
      <c r="C310" s="57" t="n">
        <v>11</v>
      </c>
      <c r="D310" s="59" t="inlineStr">
        <is>
          <t>Total Amount Received</t>
        </is>
      </c>
    </row>
    <row r="311" ht="15" customHeight="1">
      <c r="A311" s="57" t="inlineStr">
        <is>
          <t>OLAP</t>
        </is>
      </c>
      <c r="B311" s="59" t="inlineStr">
        <is>
          <t>Reporting Loans</t>
        </is>
      </c>
      <c r="C311" s="57" t="n">
        <v>12</v>
      </c>
      <c r="D311" s="59" t="inlineStr">
        <is>
          <t>Loan Status TE</t>
        </is>
      </c>
    </row>
    <row r="312" ht="15" customHeight="1">
      <c r="A312" s="57" t="inlineStr">
        <is>
          <t>OLAP</t>
        </is>
      </c>
      <c r="B312" s="59" t="inlineStr">
        <is>
          <t>Reporting Loans</t>
        </is>
      </c>
      <c r="C312" s="57" t="n">
        <v>13</v>
      </c>
      <c r="D312" s="59" t="inlineStr">
        <is>
          <t>Loan Age Bucket</t>
        </is>
      </c>
    </row>
    <row r="313" ht="15" customHeight="1">
      <c r="A313" s="57" t="inlineStr">
        <is>
          <t>OLAP</t>
        </is>
      </c>
      <c r="B313" s="59" t="inlineStr">
        <is>
          <t>Reporting Loans</t>
        </is>
      </c>
      <c r="C313" s="57" t="n">
        <v>14</v>
      </c>
      <c r="D313" s="59" t="inlineStr">
        <is>
          <t>Loan Type TE</t>
        </is>
      </c>
    </row>
    <row r="314" ht="15" customHeight="1">
      <c r="A314" s="57" t="inlineStr">
        <is>
          <t>OLAP</t>
        </is>
      </c>
      <c r="B314" s="59" t="inlineStr">
        <is>
          <t>Reporting Loans</t>
        </is>
      </c>
      <c r="C314" s="57" t="n">
        <v>15</v>
      </c>
      <c r="D314" s="59" t="inlineStr">
        <is>
          <t>Loan Status</t>
        </is>
      </c>
    </row>
    <row r="315" ht="15" customHeight="1">
      <c r="A315" s="57" t="inlineStr">
        <is>
          <t>OLAP</t>
        </is>
      </c>
      <c r="B315" s="59" t="inlineStr">
        <is>
          <t>Reporting Loans</t>
        </is>
      </c>
      <c r="C315" s="57" t="n">
        <v>16</v>
      </c>
      <c r="D315" s="59" t="inlineStr">
        <is>
          <t>Loan Type</t>
        </is>
      </c>
    </row>
    <row r="316" ht="15" customHeight="1">
      <c r="A316" s="57" t="inlineStr">
        <is>
          <t>OLAP</t>
        </is>
      </c>
      <c r="B316" s="59" t="inlineStr">
        <is>
          <t>Reporting Loans</t>
        </is>
      </c>
      <c r="C316" s="57" t="n">
        <v>17</v>
      </c>
      <c r="D316" s="59" t="inlineStr">
        <is>
          <t>Current Daily Interest</t>
        </is>
      </c>
    </row>
    <row r="317" ht="15" customHeight="1">
      <c r="A317" s="57" t="inlineStr">
        <is>
          <t>OLAP</t>
        </is>
      </c>
      <c r="B317" s="59" t="inlineStr">
        <is>
          <t>Reporting Loans</t>
        </is>
      </c>
      <c r="C317" s="57" t="n">
        <v>18</v>
      </c>
      <c r="D317" s="59" t="inlineStr">
        <is>
          <t>Fixed Interest</t>
        </is>
      </c>
    </row>
    <row r="318" ht="15" customHeight="1">
      <c r="A318" s="57" t="inlineStr">
        <is>
          <t>OLAP</t>
        </is>
      </c>
      <c r="B318" s="59" t="inlineStr">
        <is>
          <t>Reporting Loans</t>
        </is>
      </c>
      <c r="C318" s="57" t="n">
        <v>19</v>
      </c>
      <c r="D318" s="59" t="inlineStr">
        <is>
          <t>Transfer Fee</t>
        </is>
      </c>
    </row>
    <row r="319" ht="15" customHeight="1">
      <c r="A319" s="57" t="inlineStr">
        <is>
          <t>OLAP</t>
        </is>
      </c>
      <c r="B319" s="59" t="inlineStr">
        <is>
          <t>Reporting Loans</t>
        </is>
      </c>
      <c r="C319" s="57" t="n">
        <v>20</v>
      </c>
      <c r="D319" s="59" t="inlineStr">
        <is>
          <t>Interest Payment Interval</t>
        </is>
      </c>
    </row>
    <row r="320" ht="15" customHeight="1">
      <c r="A320" s="57" t="inlineStr">
        <is>
          <t>OLAP</t>
        </is>
      </c>
      <c r="B320" s="59" t="inlineStr">
        <is>
          <t>Reporting Loans</t>
        </is>
      </c>
      <c r="C320" s="57" t="n">
        <v>21</v>
      </c>
      <c r="D320" s="59" t="inlineStr">
        <is>
          <t>Principal Recovered by Interest %</t>
        </is>
      </c>
    </row>
    <row r="321" ht="15" customHeight="1">
      <c r="A321" s="57" t="inlineStr">
        <is>
          <t>OLAP</t>
        </is>
      </c>
      <c r="B321" s="59" t="inlineStr">
        <is>
          <t>Reporting Loans</t>
        </is>
      </c>
      <c r="C321" s="57" t="n">
        <v>22</v>
      </c>
      <c r="D321" s="59" t="inlineStr">
        <is>
          <t>Expected Interest This Month</t>
        </is>
      </c>
    </row>
    <row r="322" ht="15" customHeight="1">
      <c r="A322" s="57" t="inlineStr">
        <is>
          <t>OLAP</t>
        </is>
      </c>
      <c r="B322" s="59" t="inlineStr">
        <is>
          <t>Reporting Loans</t>
        </is>
      </c>
      <c r="C322" s="57" t="n">
        <v>23</v>
      </c>
      <c r="D322" s="59" t="inlineStr">
        <is>
          <t>Effective Daily Interest Rate</t>
        </is>
      </c>
    </row>
    <row r="323" ht="15" customHeight="1">
      <c r="A323" s="57" t="inlineStr">
        <is>
          <t>OLAP</t>
        </is>
      </c>
      <c r="B323" s="59" t="inlineStr">
        <is>
          <t>Reporting Loans</t>
        </is>
      </c>
      <c r="C323" s="57" t="n">
        <v>24</v>
      </c>
      <c r="D323" s="59" t="inlineStr">
        <is>
          <t>Default Loss Amount</t>
        </is>
      </c>
    </row>
    <row r="324" ht="15" customHeight="1">
      <c r="A324" s="57" t="inlineStr">
        <is>
          <t>OLAP</t>
        </is>
      </c>
      <c r="B324" s="59" t="inlineStr">
        <is>
          <t>Reporting Loans</t>
        </is>
      </c>
      <c r="C324" s="57" t="n">
        <v>25</v>
      </c>
      <c r="D324" s="59" t="inlineStr">
        <is>
          <t>Defaulted Flag</t>
        </is>
      </c>
    </row>
    <row r="325" ht="15" customHeight="1">
      <c r="A325" s="57" t="inlineStr">
        <is>
          <t>OLAP</t>
        </is>
      </c>
      <c r="B325" s="59" t="inlineStr">
        <is>
          <t>Reporting Loans</t>
        </is>
      </c>
      <c r="C325" s="57" t="n">
        <v>26</v>
      </c>
      <c r="D325" s="59" t="inlineStr">
        <is>
          <t>Borrower Name</t>
        </is>
      </c>
    </row>
    <row r="326" ht="15" customHeight="1">
      <c r="A326" s="57" t="inlineStr">
        <is>
          <t>OLAP</t>
        </is>
      </c>
      <c r="B326" s="59" t="inlineStr">
        <is>
          <t>Reporting Loans</t>
        </is>
      </c>
      <c r="C326" s="57" t="n">
        <v>27</v>
      </c>
      <c r="D326" s="59" t="inlineStr">
        <is>
          <t>Borrower Name TE</t>
        </is>
      </c>
    </row>
    <row r="327" ht="15" customHeight="1">
      <c r="A327" s="57" t="inlineStr">
        <is>
          <t>OLAP</t>
        </is>
      </c>
      <c r="B327" s="59" t="inlineStr">
        <is>
          <t>Reporting Loans</t>
        </is>
      </c>
      <c r="C327" s="57" t="n">
        <v>28</v>
      </c>
      <c r="D327" s="59" t="inlineStr">
        <is>
          <t>Loan Duration</t>
        </is>
      </c>
    </row>
    <row r="328" ht="15" customHeight="1">
      <c r="A328" s="57" t="inlineStr">
        <is>
          <t>OLAP</t>
        </is>
      </c>
      <c r="B328" s="59" t="inlineStr">
        <is>
          <t>Reporting Loans</t>
        </is>
      </c>
      <c r="C328" s="57" t="n">
        <v>29</v>
      </c>
      <c r="D328" s="59" t="inlineStr">
        <is>
          <t>Defaulted</t>
        </is>
      </c>
    </row>
    <row r="329" ht="15" customHeight="1">
      <c r="A329" s="57" t="inlineStr">
        <is>
          <t>OLAP</t>
        </is>
      </c>
      <c r="B329" s="59" t="inlineStr">
        <is>
          <t>Reporting Loans</t>
        </is>
      </c>
      <c r="C329" s="57" t="n">
        <v>30</v>
      </c>
      <c r="D329" s="59" t="inlineStr">
        <is>
          <t>Maximum Days Late</t>
        </is>
      </c>
    </row>
    <row r="330" ht="15" customHeight="1">
      <c r="A330" s="57" t="inlineStr">
        <is>
          <t>OLAP</t>
        </is>
      </c>
      <c r="B330" s="59" t="inlineStr">
        <is>
          <t>Reporting Repayments</t>
        </is>
      </c>
      <c r="C330" s="57" t="n">
        <v>1</v>
      </c>
      <c r="D330" s="59" t="inlineStr">
        <is>
          <t>_RowNumber</t>
        </is>
      </c>
    </row>
    <row r="331" ht="15" customHeight="1">
      <c r="A331" s="57" t="inlineStr">
        <is>
          <t>OLAP</t>
        </is>
      </c>
      <c r="B331" s="59" t="inlineStr">
        <is>
          <t>Reporting Repayments</t>
        </is>
      </c>
      <c r="C331" s="57" t="n">
        <v>2</v>
      </c>
      <c r="D331" s="59" t="inlineStr">
        <is>
          <t>Row ID</t>
        </is>
      </c>
    </row>
    <row r="332" ht="15" customHeight="1">
      <c r="A332" s="57" t="inlineStr">
        <is>
          <t>OLAP</t>
        </is>
      </c>
      <c r="B332" s="59" t="inlineStr">
        <is>
          <t>Reporting Repayments</t>
        </is>
      </c>
      <c r="C332" s="57" t="n">
        <v>3</v>
      </c>
      <c r="D332" s="59" t="inlineStr">
        <is>
          <t>Payment Date</t>
        </is>
      </c>
    </row>
    <row r="333" ht="15" customHeight="1">
      <c r="A333" s="57" t="inlineStr">
        <is>
          <t>OLAP</t>
        </is>
      </c>
      <c r="B333" s="59" t="inlineStr">
        <is>
          <t>Reporting Repayments</t>
        </is>
      </c>
      <c r="C333" s="57" t="n">
        <v>4</v>
      </c>
      <c r="D333" s="59" t="inlineStr">
        <is>
          <t>Amount Received</t>
        </is>
      </c>
    </row>
    <row r="334" ht="15" customHeight="1">
      <c r="A334" s="57" t="inlineStr">
        <is>
          <t>OLAP</t>
        </is>
      </c>
      <c r="B334" s="59" t="inlineStr">
        <is>
          <t>Reporting Repayments</t>
        </is>
      </c>
      <c r="C334" s="57" t="n">
        <v>5</v>
      </c>
      <c r="D334" s="59" t="inlineStr">
        <is>
          <t>Principal Paid</t>
        </is>
      </c>
    </row>
    <row r="335" ht="15" customHeight="1">
      <c r="A335" s="57" t="inlineStr">
        <is>
          <t>OLAP</t>
        </is>
      </c>
      <c r="B335" s="59" t="inlineStr">
        <is>
          <t>Reporting Repayments</t>
        </is>
      </c>
      <c r="C335" s="57" t="n">
        <v>6</v>
      </c>
      <c r="D335" s="59" t="inlineStr">
        <is>
          <t>Interest Paid</t>
        </is>
      </c>
    </row>
    <row r="336" ht="15" customHeight="1">
      <c r="A336" s="57" t="inlineStr">
        <is>
          <t>OLAP</t>
        </is>
      </c>
      <c r="B336" s="59" t="inlineStr">
        <is>
          <t>Reporting Repayments</t>
        </is>
      </c>
      <c r="C336" s="57" t="n">
        <v>7</v>
      </c>
      <c r="D336" s="59" t="inlineStr">
        <is>
          <t>Ref Loans</t>
        </is>
      </c>
    </row>
    <row r="337" ht="15" customHeight="1">
      <c r="A337" s="57" t="inlineStr">
        <is>
          <t>OLAP</t>
        </is>
      </c>
      <c r="B337" s="59" t="inlineStr">
        <is>
          <t>Reporting Repayments</t>
        </is>
      </c>
      <c r="C337" s="57" t="n">
        <v>8</v>
      </c>
      <c r="D337" s="59" t="inlineStr">
        <is>
          <t>Ref Charges</t>
        </is>
      </c>
    </row>
    <row r="338" ht="15" customHeight="1">
      <c r="A338" s="57" t="inlineStr">
        <is>
          <t>OLAP</t>
        </is>
      </c>
      <c r="B338" s="59" t="inlineStr">
        <is>
          <t>Reporting Statistics</t>
        </is>
      </c>
      <c r="C338" s="57" t="n">
        <v>1</v>
      </c>
      <c r="D338" s="59" t="inlineStr">
        <is>
          <t>_RowNumber</t>
        </is>
      </c>
    </row>
    <row r="339" ht="15" customHeight="1">
      <c r="A339" s="57" t="inlineStr">
        <is>
          <t>OLAP</t>
        </is>
      </c>
      <c r="B339" s="59" t="inlineStr">
        <is>
          <t>Reporting Statistics</t>
        </is>
      </c>
      <c r="C339" s="57" t="n">
        <v>2</v>
      </c>
      <c r="D339" s="59" t="inlineStr">
        <is>
          <t>Row ID</t>
        </is>
      </c>
    </row>
    <row r="340" ht="15" customHeight="1">
      <c r="A340" s="57" t="inlineStr">
        <is>
          <t>OLAP</t>
        </is>
      </c>
      <c r="B340" s="59" t="inlineStr">
        <is>
          <t>Reporting Statistics</t>
        </is>
      </c>
      <c r="C340" s="57" t="n">
        <v>3</v>
      </c>
      <c r="D340" s="59" t="inlineStr">
        <is>
          <t>Outstanding Principal</t>
        </is>
      </c>
    </row>
    <row r="341" ht="15" customHeight="1">
      <c r="A341" s="57" t="inlineStr">
        <is>
          <t>OLAP</t>
        </is>
      </c>
      <c r="B341" s="59" t="inlineStr">
        <is>
          <t>Reporting Statistics</t>
        </is>
      </c>
      <c r="C341" s="57" t="n">
        <v>4</v>
      </c>
      <c r="D341" s="59" t="inlineStr">
        <is>
          <t>Active Loans</t>
        </is>
      </c>
    </row>
    <row r="342" ht="15" customHeight="1">
      <c r="A342" s="57" t="inlineStr">
        <is>
          <t>OLAP</t>
        </is>
      </c>
      <c r="B342" s="59" t="inlineStr">
        <is>
          <t>Reporting Statistics</t>
        </is>
      </c>
      <c r="C342" s="57" t="n">
        <v>5</v>
      </c>
      <c r="D342" s="59" t="inlineStr">
        <is>
          <t>Realized Profit MTD</t>
        </is>
      </c>
    </row>
    <row r="343" ht="15" customHeight="1">
      <c r="A343" s="57" t="inlineStr">
        <is>
          <t>OLAP</t>
        </is>
      </c>
      <c r="B343" s="59" t="inlineStr">
        <is>
          <t>Reporting Statistics</t>
        </is>
      </c>
      <c r="C343" s="57" t="n">
        <v>6</v>
      </c>
      <c r="D343" s="59" t="inlineStr">
        <is>
          <t>Projected Monthly Profit</t>
        </is>
      </c>
    </row>
    <row r="344" ht="15" customHeight="1">
      <c r="A344" s="57" t="inlineStr">
        <is>
          <t>OLAP</t>
        </is>
      </c>
      <c r="B344" s="59" t="inlineStr">
        <is>
          <t>Reporting Statistics</t>
        </is>
      </c>
      <c r="C344" s="57" t="n">
        <v>7</v>
      </c>
      <c r="D344" s="59" t="inlineStr">
        <is>
          <t>Peak Cash Pool Date 30D</t>
        </is>
      </c>
    </row>
    <row r="345" ht="15" customHeight="1">
      <c r="A345" s="57" t="inlineStr">
        <is>
          <t>OLAP</t>
        </is>
      </c>
      <c r="B345" s="59" t="inlineStr">
        <is>
          <t>Reporting Statistics</t>
        </is>
      </c>
      <c r="C345" s="57" t="n">
        <v>8</v>
      </c>
      <c r="D345" s="59" t="inlineStr">
        <is>
          <t>Expected Daily Interest</t>
        </is>
      </c>
    </row>
    <row r="346">
      <c r="A346" s="57" t="inlineStr">
        <is>
          <t>OLAP</t>
        </is>
      </c>
      <c r="B346" s="59" t="inlineStr">
        <is>
          <t>Reporting Statistics</t>
        </is>
      </c>
      <c r="C346" s="57" t="n">
        <v>9</v>
      </c>
      <c r="D346" s="59" t="inlineStr">
        <is>
          <t>Total Cash Pool</t>
        </is>
      </c>
    </row>
    <row r="347">
      <c r="A347" s="57" t="inlineStr">
        <is>
          <t>OLAP</t>
        </is>
      </c>
      <c r="B347" s="59" t="inlineStr">
        <is>
          <t>Reporting Statistics</t>
        </is>
      </c>
      <c r="C347" s="57" t="n">
        <v>10</v>
      </c>
      <c r="D347" s="59" t="inlineStr">
        <is>
          <t>Total Unsettled Profit</t>
        </is>
      </c>
    </row>
    <row r="348">
      <c r="A348" s="57" t="inlineStr">
        <is>
          <t>OLAP</t>
        </is>
      </c>
      <c r="B348" s="59" t="inlineStr">
        <is>
          <t>Reporting Statistics</t>
        </is>
      </c>
      <c r="C348" s="57" t="n">
        <v>11</v>
      </c>
      <c r="D348" s="59" t="inlineStr">
        <is>
          <t>Expected Loan Account Balance</t>
        </is>
      </c>
    </row>
    <row r="349">
      <c r="A349" s="57" t="inlineStr">
        <is>
          <t>OLAP</t>
        </is>
      </c>
      <c r="B349" s="59" t="inlineStr">
        <is>
          <t>Reporting Statistics</t>
        </is>
      </c>
      <c r="C349" s="57" t="n">
        <v>12</v>
      </c>
      <c r="D349" s="59" t="inlineStr">
        <is>
          <t>Top 3 Borrower Concentration</t>
        </is>
      </c>
    </row>
    <row r="350">
      <c r="A350" s="57" t="inlineStr">
        <is>
          <t>OLAP</t>
        </is>
      </c>
      <c r="B350" s="59" t="inlineStr">
        <is>
          <t>Reporting Statistics</t>
        </is>
      </c>
      <c r="C350" s="57" t="n">
        <v>13</v>
      </c>
      <c r="D350" s="59" t="inlineStr">
        <is>
          <t>Amount Due Today</t>
        </is>
      </c>
    </row>
    <row r="351">
      <c r="A351" s="57" t="inlineStr">
        <is>
          <t>OLAP</t>
        </is>
      </c>
      <c r="B351" s="59" t="inlineStr">
        <is>
          <t>Reporting Statistics</t>
        </is>
      </c>
      <c r="C351" s="57" t="n">
        <v>14</v>
      </c>
      <c r="D351" s="59" t="inlineStr">
        <is>
          <t>Amount Collected Today</t>
        </is>
      </c>
    </row>
    <row r="352">
      <c r="A352" s="57" t="inlineStr">
        <is>
          <t>OLAP</t>
        </is>
      </c>
      <c r="B352" s="59" t="inlineStr">
        <is>
          <t>Reporting Statistics</t>
        </is>
      </c>
      <c r="C352" s="57" t="n">
        <v>15</v>
      </c>
      <c r="D352" s="59" t="inlineStr">
        <is>
          <t>Amount Outstanding Today</t>
        </is>
      </c>
    </row>
    <row r="353">
      <c r="A353" s="57" t="inlineStr">
        <is>
          <t>OLAP</t>
        </is>
      </c>
      <c r="B353" s="59" t="inlineStr">
        <is>
          <t>Reporting Statistics</t>
        </is>
      </c>
      <c r="C353" s="57" t="n">
        <v>16</v>
      </c>
      <c r="D353" s="59" t="inlineStr">
        <is>
          <t>Amount Collection Rate Today</t>
        </is>
      </c>
    </row>
    <row r="354">
      <c r="A354" s="57" t="inlineStr">
        <is>
          <t>OLAP</t>
        </is>
      </c>
      <c r="B354" s="59" t="inlineStr">
        <is>
          <t>Reporting Statistics</t>
        </is>
      </c>
      <c r="C354" s="57" t="n">
        <v>17</v>
      </c>
      <c r="D354" s="59" t="inlineStr">
        <is>
          <t>Total Outstanding Principal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16" customWidth="1" min="4" max="4"/>
    <col width="16" customWidth="1" min="5" max="5"/>
    <col width="68" customWidth="1" min="6" max="6"/>
  </cols>
  <sheetData>
    <row r="1" ht="30" customHeight="1">
      <c r="A1" s="3" t="inlineStr">
        <is>
          <t>Application Variances</t>
        </is>
      </c>
    </row>
    <row r="2" ht="30" customHeight="1">
      <c r="A2" s="7" t="inlineStr">
        <is>
          <t>Tables and columns present in only one live application definition; reconciled on 2026-09-01 for the OLTP-only daily-installment additions.</t>
        </is>
      </c>
    </row>
    <row r="4" ht="30" customHeight="1">
      <c r="A4" s="50" t="inlineStr">
        <is>
          <t>Object Type</t>
        </is>
      </c>
      <c r="B4" s="51" t="inlineStr">
        <is>
          <t>Table</t>
        </is>
      </c>
      <c r="C4" s="51" t="inlineStr">
        <is>
          <t>Object</t>
        </is>
      </c>
      <c r="D4" s="51" t="inlineStr">
        <is>
          <t>OLTP Presence</t>
        </is>
      </c>
      <c r="E4" s="51" t="inlineStr">
        <is>
          <t>OLAP Presence</t>
        </is>
      </c>
      <c r="F4" s="52" t="inlineStr">
        <is>
          <t>Notes</t>
        </is>
      </c>
    </row>
    <row r="5" ht="15" customHeight="1">
      <c r="A5" s="56" t="inlineStr">
        <is>
          <t>Table</t>
        </is>
      </c>
      <c r="B5" s="56" t="inlineStr">
        <is>
          <t>Calendar</t>
        </is>
      </c>
      <c r="C5" s="58" t="inlineStr">
        <is>
          <t>Calendar</t>
        </is>
      </c>
      <c r="D5" s="56" t="inlineStr">
        <is>
          <t>No</t>
        </is>
      </c>
      <c r="E5" s="56" t="inlineStr">
        <is>
          <t>Yes</t>
        </is>
      </c>
      <c r="F5" s="58" t="inlineStr">
        <is>
          <t>Google Sheets-backed date spine used by OLAP loan-assessment projections; not part of Money database.</t>
        </is>
      </c>
    </row>
    <row r="6" ht="15" customHeight="1">
      <c r="A6" s="57" t="inlineStr">
        <is>
          <t>Table</t>
        </is>
      </c>
      <c r="B6" s="57" t="inlineStr">
        <is>
          <t>Cash Pool Contributions</t>
        </is>
      </c>
      <c r="C6" s="59" t="inlineStr">
        <is>
          <t>Cash Pool Contributions</t>
        </is>
      </c>
      <c r="D6" s="57" t="inlineStr">
        <is>
          <t>No</t>
        </is>
      </c>
      <c r="E6" s="57" t="inlineStr">
        <is>
          <t>Yes</t>
        </is>
      </c>
      <c r="F6" s="59" t="inlineStr">
        <is>
          <t>Partner capital-contribution movements that build the lendable cash pool.</t>
        </is>
      </c>
    </row>
    <row r="7" ht="15" customHeight="1">
      <c r="A7" s="57" t="inlineStr">
        <is>
          <t>Table</t>
        </is>
      </c>
      <c r="B7" s="57" t="inlineStr">
        <is>
          <t>Daily Analytics</t>
        </is>
      </c>
      <c r="C7" s="59" t="inlineStr">
        <is>
          <t>Daily Analytics</t>
        </is>
      </c>
      <c r="D7" s="57" t="inlineStr">
        <is>
          <t>No</t>
        </is>
      </c>
      <c r="E7" s="57" t="inlineStr">
        <is>
          <t>Yes</t>
        </is>
      </c>
      <c r="F7" s="59" t="inlineStr">
        <is>
          <t>Persisted daily portfolio snapshot fact table for historical reporting and governed feeds.</t>
        </is>
      </c>
    </row>
    <row r="8" ht="15" customHeight="1">
      <c r="A8" s="57" t="inlineStr">
        <is>
          <t>Table</t>
        </is>
      </c>
      <c r="B8" s="57" t="inlineStr">
        <is>
          <t>Loan Assessment</t>
        </is>
      </c>
      <c r="C8" s="59" t="inlineStr">
        <is>
          <t>Loan Assessment</t>
        </is>
      </c>
      <c r="D8" s="57" t="inlineStr">
        <is>
          <t>No</t>
        </is>
      </c>
      <c r="E8" s="57" t="inlineStr">
        <is>
          <t>Yes</t>
        </is>
      </c>
      <c r="F8" s="59" t="inlineStr">
        <is>
          <t>Input/control record for evaluating a proposed loan against projected coverage and return.</t>
        </is>
      </c>
    </row>
    <row r="9" ht="15" customHeight="1">
      <c r="A9" s="57" t="inlineStr">
        <is>
          <t>Table</t>
        </is>
      </c>
      <c r="B9" s="57" t="inlineStr">
        <is>
          <t>Settlements</t>
        </is>
      </c>
      <c r="C9" s="59" t="inlineStr">
        <is>
          <t>Settlements</t>
        </is>
      </c>
      <c r="D9" s="57" t="inlineStr">
        <is>
          <t>No</t>
        </is>
      </c>
      <c r="E9" s="57" t="inlineStr">
        <is>
          <t>Yes</t>
        </is>
      </c>
      <c r="F9" s="59" t="inlineStr">
        <is>
          <t>Auditable partner settlement records and settlement status.</t>
        </is>
      </c>
    </row>
    <row r="10" ht="15" customHeight="1">
      <c r="A10" s="57" t="inlineStr">
        <is>
          <t>Column</t>
        </is>
      </c>
      <c r="B10" s="57" t="inlineStr">
        <is>
          <t>Borrowers</t>
        </is>
      </c>
      <c r="C10" s="59" t="inlineStr">
        <is>
          <t>Profit Last 30 Days</t>
        </is>
      </c>
      <c r="D10" s="57" t="inlineStr">
        <is>
          <t>No</t>
        </is>
      </c>
      <c r="E10" s="57" t="inlineStr">
        <is>
          <t>Yes</t>
        </is>
      </c>
      <c r="F10" s="59" t="inlineStr">
        <is>
          <t>Derived date, time-window, age, or delinquency measure.</t>
        </is>
      </c>
    </row>
    <row r="11" ht="15" customHeight="1">
      <c r="A11" s="57" t="inlineStr">
        <is>
          <t>Column</t>
        </is>
      </c>
      <c r="B11" s="57" t="inlineStr">
        <is>
          <t>Borrowers</t>
        </is>
      </c>
      <c r="C11" s="59" t="inlineStr">
        <is>
          <t>Related Loan Assessments</t>
        </is>
      </c>
      <c r="D11" s="57" t="inlineStr">
        <is>
          <t>No</t>
        </is>
      </c>
      <c r="E11" s="57" t="inlineStr">
        <is>
          <t>Yes</t>
        </is>
      </c>
      <c r="F11" s="59" t="inlineStr">
        <is>
          <t>Reverse-reference list of child rows that point to this record.</t>
        </is>
      </c>
    </row>
    <row r="12" ht="15" customHeight="1">
      <c r="A12" s="57" t="inlineStr">
        <is>
          <t>Column</t>
        </is>
      </c>
      <c r="B12" s="57" t="inlineStr">
        <is>
          <t>Borrowers</t>
        </is>
      </c>
      <c r="C12" s="59" t="inlineStr">
        <is>
          <t>Related Calendars</t>
        </is>
      </c>
      <c r="D12" s="57" t="inlineStr">
        <is>
          <t>No</t>
        </is>
      </c>
      <c r="E12" s="57" t="inlineStr">
        <is>
          <t>Yes</t>
        </is>
      </c>
      <c r="F12" s="59" t="inlineStr">
        <is>
          <t>Reverse-reference list of child rows that point to this record.</t>
        </is>
      </c>
    </row>
    <row r="13" ht="15" customHeight="1">
      <c r="A13" s="57" t="inlineStr">
        <is>
          <t>Column</t>
        </is>
      </c>
      <c r="B13" s="57" t="inlineStr">
        <is>
          <t>Borrowers</t>
        </is>
      </c>
      <c r="C13" s="59" t="inlineStr">
        <is>
          <t>30D Gross Principal Days</t>
        </is>
      </c>
      <c r="D13" s="57" t="inlineStr">
        <is>
          <t>No</t>
        </is>
      </c>
      <c r="E13" s="57" t="inlineStr">
        <is>
          <t>Yes</t>
        </is>
      </c>
      <c r="F13" s="59" t="inlineStr">
        <is>
          <t>Derived date, time-window, age, or delinquency measure.</t>
        </is>
      </c>
    </row>
    <row r="14" ht="15" customHeight="1">
      <c r="A14" s="57" t="inlineStr">
        <is>
          <t>Column</t>
        </is>
      </c>
      <c r="B14" s="57" t="inlineStr">
        <is>
          <t>Borrowers</t>
        </is>
      </c>
      <c r="C14" s="59" t="inlineStr">
        <is>
          <t>30D Principal Reduction Days</t>
        </is>
      </c>
      <c r="D14" s="57" t="inlineStr">
        <is>
          <t>No</t>
        </is>
      </c>
      <c r="E14" s="57" t="inlineStr">
        <is>
          <t>Yes</t>
        </is>
      </c>
      <c r="F14" s="59" t="inlineStr">
        <is>
          <t>Derived date, time-window, age, or delinquency measure.</t>
        </is>
      </c>
    </row>
    <row r="15" ht="15" customHeight="1">
      <c r="A15" s="57" t="inlineStr">
        <is>
          <t>Column</t>
        </is>
      </c>
      <c r="B15" s="57" t="inlineStr">
        <is>
          <t>Borrowers</t>
        </is>
      </c>
      <c r="C15" s="59" t="inlineStr">
        <is>
          <t>30D Average Outstanding Principal</t>
        </is>
      </c>
      <c r="D15" s="57" t="inlineStr">
        <is>
          <t>No</t>
        </is>
      </c>
      <c r="E15" s="57" t="inlineStr">
        <is>
          <t>Yes</t>
        </is>
      </c>
      <c r="F15" s="59" t="inlineStr">
        <is>
          <t>Derived date, time-window, age, or delinquency measure.</t>
        </is>
      </c>
    </row>
    <row r="16" ht="15" customHeight="1">
      <c r="A16" s="57" t="inlineStr">
        <is>
          <t>Column</t>
        </is>
      </c>
      <c r="B16" s="57" t="inlineStr">
        <is>
          <t>Borrowers</t>
        </is>
      </c>
      <c r="C16" s="59" t="inlineStr">
        <is>
          <t>30D Return on Average Principal</t>
        </is>
      </c>
      <c r="D16" s="57" t="inlineStr">
        <is>
          <t>No</t>
        </is>
      </c>
      <c r="E16" s="57" t="inlineStr">
        <is>
          <t>Yes</t>
        </is>
      </c>
      <c r="F16" s="59" t="inlineStr">
        <is>
          <t>Derived ratio or performance measure calculated from governed source values.</t>
        </is>
      </c>
    </row>
    <row r="17" ht="15" customHeight="1">
      <c r="A17" s="57" t="inlineStr">
        <is>
          <t>Column</t>
        </is>
      </c>
      <c r="B17" s="57" t="inlineStr">
        <is>
          <t>Borrowers</t>
        </is>
      </c>
      <c r="C17" s="59" t="inlineStr">
        <is>
          <t>Portfolio Exposure %</t>
        </is>
      </c>
      <c r="D17" s="57" t="inlineStr">
        <is>
          <t>No</t>
        </is>
      </c>
      <c r="E17" s="57" t="inlineStr">
        <is>
          <t>Yes</t>
        </is>
      </c>
      <c r="F17" s="59" t="inlineStr">
        <is>
          <t>Derived ratio or performance measure calculated from governed source values.</t>
        </is>
      </c>
    </row>
    <row r="18" ht="15" customHeight="1">
      <c r="A18" s="57" t="inlineStr">
        <is>
          <t>Column</t>
        </is>
      </c>
      <c r="B18" s="57" t="inlineStr">
        <is>
          <t>Borrowers</t>
        </is>
      </c>
      <c r="C18" s="59" t="inlineStr">
        <is>
          <t>Active Loan Count</t>
        </is>
      </c>
      <c r="D18" s="57" t="inlineStr">
        <is>
          <t>No</t>
        </is>
      </c>
      <c r="E18" s="57" t="inlineStr">
        <is>
          <t>Yes</t>
        </is>
      </c>
      <c r="F18" s="59" t="inlineStr">
        <is>
          <t>Derived count used for workload, portfolio, or risk analysis.</t>
        </is>
      </c>
    </row>
    <row r="19" ht="15" customHeight="1">
      <c r="A19" s="57" t="inlineStr">
        <is>
          <t>Column</t>
        </is>
      </c>
      <c r="B19" s="57" t="inlineStr">
        <is>
          <t>Borrowers</t>
        </is>
      </c>
      <c r="C19" s="59" t="inlineStr">
        <is>
          <t>Oldest Active Loan Age</t>
        </is>
      </c>
      <c r="D19" s="57" t="inlineStr">
        <is>
          <t>No</t>
        </is>
      </c>
      <c r="E19" s="57" t="inlineStr">
        <is>
          <t>Yes</t>
        </is>
      </c>
      <c r="F19" s="59" t="inlineStr">
        <is>
          <t>Derived date, time-window, age, or delinquency measure.</t>
        </is>
      </c>
    </row>
    <row r="20" ht="15" customHeight="1">
      <c r="A20" s="57" t="inlineStr">
        <is>
          <t>Column</t>
        </is>
      </c>
      <c r="B20" s="57" t="inlineStr">
        <is>
          <t>Borrowers</t>
        </is>
      </c>
      <c r="C20" s="59" t="inlineStr">
        <is>
          <t>Overdue Amount</t>
        </is>
      </c>
      <c r="D20" s="57" t="inlineStr">
        <is>
          <t>No</t>
        </is>
      </c>
      <c r="E20" s="57" t="inlineStr">
        <is>
          <t>Yes</t>
        </is>
      </c>
      <c r="F20" s="59" t="inlineStr">
        <is>
          <t>Derived financial aggregate or balance for operational or analytical use.</t>
        </is>
      </c>
    </row>
    <row r="21" ht="15" customHeight="1">
      <c r="A21" s="57" t="inlineStr">
        <is>
          <t>Column</t>
        </is>
      </c>
      <c r="B21" s="57" t="inlineStr">
        <is>
          <t>Borrowers</t>
        </is>
      </c>
      <c r="C21" s="59" t="inlineStr">
        <is>
          <t>Overdue Charge Count</t>
        </is>
      </c>
      <c r="D21" s="57" t="inlineStr">
        <is>
          <t>No</t>
        </is>
      </c>
      <c r="E21" s="57" t="inlineStr">
        <is>
          <t>Yes</t>
        </is>
      </c>
      <c r="F21" s="59" t="inlineStr">
        <is>
          <t>Derived count used for workload, portfolio, or risk analysis.</t>
        </is>
      </c>
    </row>
    <row r="22" ht="15" customHeight="1">
      <c r="A22" s="57" t="inlineStr">
        <is>
          <t>Column</t>
        </is>
      </c>
      <c r="B22" s="57" t="inlineStr">
        <is>
          <t>Borrowers</t>
        </is>
      </c>
      <c r="C22" s="59" t="inlineStr">
        <is>
          <t>Historical Charge Count</t>
        </is>
      </c>
      <c r="D22" s="57" t="inlineStr">
        <is>
          <t>No</t>
        </is>
      </c>
      <c r="E22" s="57" t="inlineStr">
        <is>
          <t>Yes</t>
        </is>
      </c>
      <c r="F22" s="59" t="inlineStr">
        <is>
          <t>Derived count used for workload, portfolio, or risk analysis.</t>
        </is>
      </c>
    </row>
    <row r="23" ht="15" customHeight="1">
      <c r="A23" s="57" t="inlineStr">
        <is>
          <t>Column</t>
        </is>
      </c>
      <c r="B23" s="57" t="inlineStr">
        <is>
          <t>Borrowers</t>
        </is>
      </c>
      <c r="C23" s="59" t="inlineStr">
        <is>
          <t>On Time Charge Count</t>
        </is>
      </c>
      <c r="D23" s="57" t="inlineStr">
        <is>
          <t>No</t>
        </is>
      </c>
      <c r="E23" s="57" t="inlineStr">
        <is>
          <t>Yes</t>
        </is>
      </c>
      <c r="F23" s="59" t="inlineStr">
        <is>
          <t>Derived count used for workload, portfolio, or risk analysis.</t>
        </is>
      </c>
    </row>
    <row r="24" ht="15" customHeight="1">
      <c r="A24" s="57" t="inlineStr">
        <is>
          <t>Column</t>
        </is>
      </c>
      <c r="B24" s="57" t="inlineStr">
        <is>
          <t>Borrowers</t>
        </is>
      </c>
      <c r="C24" s="59" t="inlineStr">
        <is>
          <t>Lifetime On Time Rate</t>
        </is>
      </c>
      <c r="D24" s="57" t="inlineStr">
        <is>
          <t>No</t>
        </is>
      </c>
      <c r="E24" s="57" t="inlineStr">
        <is>
          <t>Yes</t>
        </is>
      </c>
      <c r="F24" s="59" t="inlineStr">
        <is>
          <t>Derived ratio or performance measure calculated from governed source values.</t>
        </is>
      </c>
    </row>
    <row r="25" ht="15" customHeight="1">
      <c r="A25" s="57" t="inlineStr">
        <is>
          <t>Column</t>
        </is>
      </c>
      <c r="B25" s="57" t="inlineStr">
        <is>
          <t>Borrowers</t>
        </is>
      </c>
      <c r="C25" s="59" t="inlineStr">
        <is>
          <t>Recent 30D Charge Count</t>
        </is>
      </c>
      <c r="D25" s="57" t="inlineStr">
        <is>
          <t>No</t>
        </is>
      </c>
      <c r="E25" s="57" t="inlineStr">
        <is>
          <t>Yes</t>
        </is>
      </c>
      <c r="F25" s="59" t="inlineStr">
        <is>
          <t>Derived count used for workload, portfolio, or risk analysis.</t>
        </is>
      </c>
    </row>
    <row r="26" ht="15" customHeight="1">
      <c r="A26" s="57" t="inlineStr">
        <is>
          <t>Column</t>
        </is>
      </c>
      <c r="B26" s="57" t="inlineStr">
        <is>
          <t>Borrowers</t>
        </is>
      </c>
      <c r="C26" s="59" t="inlineStr">
        <is>
          <t>Recent 30D On Time Count</t>
        </is>
      </c>
      <c r="D26" s="57" t="inlineStr">
        <is>
          <t>No</t>
        </is>
      </c>
      <c r="E26" s="57" t="inlineStr">
        <is>
          <t>Yes</t>
        </is>
      </c>
      <c r="F26" s="59" t="inlineStr">
        <is>
          <t>Derived count used for workload, portfolio, or risk analysis.</t>
        </is>
      </c>
    </row>
    <row r="27" ht="15" customHeight="1">
      <c r="A27" s="57" t="inlineStr">
        <is>
          <t>Column</t>
        </is>
      </c>
      <c r="B27" s="57" t="inlineStr">
        <is>
          <t>Borrowers</t>
        </is>
      </c>
      <c r="C27" s="59" t="inlineStr">
        <is>
          <t>Recent 30D On Time Rate</t>
        </is>
      </c>
      <c r="D27" s="57" t="inlineStr">
        <is>
          <t>No</t>
        </is>
      </c>
      <c r="E27" s="57" t="inlineStr">
        <is>
          <t>Yes</t>
        </is>
      </c>
      <c r="F27" s="59" t="inlineStr">
        <is>
          <t>Derived ratio or performance measure calculated from governed source values.</t>
        </is>
      </c>
    </row>
    <row r="28" ht="15" customHeight="1">
      <c r="A28" s="57" t="inlineStr">
        <is>
          <t>Column</t>
        </is>
      </c>
      <c r="B28" s="57" t="inlineStr">
        <is>
          <t>Borrowers</t>
        </is>
      </c>
      <c r="C28" s="59" t="inlineStr">
        <is>
          <t>Lifetime Late Payment Count</t>
        </is>
      </c>
      <c r="D28" s="57" t="inlineStr">
        <is>
          <t>No</t>
        </is>
      </c>
      <c r="E28" s="57" t="inlineStr">
        <is>
          <t>Yes</t>
        </is>
      </c>
      <c r="F28" s="59" t="inlineStr">
        <is>
          <t>Derived count used for workload, portfolio, or risk analysis.</t>
        </is>
      </c>
    </row>
    <row r="29" ht="15" customHeight="1">
      <c r="A29" s="57" t="inlineStr">
        <is>
          <t>Column</t>
        </is>
      </c>
      <c r="B29" s="57" t="inlineStr">
        <is>
          <t>Borrowers</t>
        </is>
      </c>
      <c r="C29" s="59" t="inlineStr">
        <is>
          <t>Recent 30D Late Payment Count</t>
        </is>
      </c>
      <c r="D29" s="57" t="inlineStr">
        <is>
          <t>No</t>
        </is>
      </c>
      <c r="E29" s="57" t="inlineStr">
        <is>
          <t>Yes</t>
        </is>
      </c>
      <c r="F29" s="59" t="inlineStr">
        <is>
          <t>Derived count used for workload, portfolio, or risk analysis.</t>
        </is>
      </c>
    </row>
    <row r="30" ht="15" customHeight="1">
      <c r="A30" s="57" t="inlineStr">
        <is>
          <t>Column</t>
        </is>
      </c>
      <c r="B30" s="57" t="inlineStr">
        <is>
          <t>Borrowers</t>
        </is>
      </c>
      <c r="C30" s="59" t="inlineStr">
        <is>
          <t>Maximum Days Late</t>
        </is>
      </c>
      <c r="D30" s="57" t="inlineStr">
        <is>
          <t>No</t>
        </is>
      </c>
      <c r="E30" s="57" t="inlineStr">
        <is>
          <t>Yes</t>
        </is>
      </c>
      <c r="F30" s="59" t="inlineStr">
        <is>
          <t>Derived business-state or risk indicator.</t>
        </is>
      </c>
    </row>
    <row r="31" ht="15" customHeight="1">
      <c r="A31" s="57" t="inlineStr">
        <is>
          <t>Column</t>
        </is>
      </c>
      <c r="B31" s="57" t="inlineStr">
        <is>
          <t>Borrowers</t>
        </is>
      </c>
      <c r="C31" s="59" t="inlineStr">
        <is>
          <t>Last Late Payment Date</t>
        </is>
      </c>
      <c r="D31" s="57" t="inlineStr">
        <is>
          <t>No</t>
        </is>
      </c>
      <c r="E31" s="57" t="inlineStr">
        <is>
          <t>Yes</t>
        </is>
      </c>
      <c r="F31" s="59" t="inlineStr">
        <is>
          <t>Derived business-state or risk indicator.</t>
        </is>
      </c>
    </row>
    <row r="32" ht="15" customHeight="1">
      <c r="A32" s="57" t="inlineStr">
        <is>
          <t>Column</t>
        </is>
      </c>
      <c r="B32" s="57" t="inlineStr">
        <is>
          <t>Borrowers</t>
        </is>
      </c>
      <c r="C32" s="59" t="inlineStr">
        <is>
          <t>Largest Successful Loan</t>
        </is>
      </c>
      <c r="D32" s="57" t="inlineStr">
        <is>
          <t>No</t>
        </is>
      </c>
      <c r="E32" s="57" t="inlineStr">
        <is>
          <t>Yes</t>
        </is>
      </c>
      <c r="F32" s="59" t="inlineStr">
        <is>
          <t>Derived AppSheet value used by the app workflow, presentation, or reporting model.</t>
        </is>
      </c>
    </row>
    <row r="33" ht="15" customHeight="1">
      <c r="A33" s="57" t="inlineStr">
        <is>
          <t>Column</t>
        </is>
      </c>
      <c r="B33" s="57" t="inlineStr">
        <is>
          <t>Borrowers</t>
        </is>
      </c>
      <c r="C33" s="59" t="inlineStr">
        <is>
          <t>Average Successful Loan Size</t>
        </is>
      </c>
      <c r="D33" s="57" t="inlineStr">
        <is>
          <t>No</t>
        </is>
      </c>
      <c r="E33" s="57" t="inlineStr">
        <is>
          <t>Yes</t>
        </is>
      </c>
      <c r="F33" s="59" t="inlineStr">
        <is>
          <t>Derived date, time-window, age, or delinquency measure.</t>
        </is>
      </c>
    </row>
    <row r="34" ht="15" customHeight="1">
      <c r="A34" s="57" t="inlineStr">
        <is>
          <t>Column</t>
        </is>
      </c>
      <c r="B34" s="57" t="inlineStr">
        <is>
          <t>Borrowers</t>
        </is>
      </c>
      <c r="C34" s="59" t="inlineStr">
        <is>
          <t>Default Count</t>
        </is>
      </c>
      <c r="D34" s="57" t="inlineStr">
        <is>
          <t>No</t>
        </is>
      </c>
      <c r="E34" s="57" t="inlineStr">
        <is>
          <t>Yes</t>
        </is>
      </c>
      <c r="F34" s="59" t="inlineStr">
        <is>
          <t>Derived count used for workload, portfolio, or risk analysis.</t>
        </is>
      </c>
    </row>
    <row r="35" ht="15" customHeight="1">
      <c r="A35" s="57" t="inlineStr">
        <is>
          <t>Column</t>
        </is>
      </c>
      <c r="B35" s="57" t="inlineStr">
        <is>
          <t>Borrowers</t>
        </is>
      </c>
      <c r="C35" s="59" t="inlineStr">
        <is>
          <t>Lifetime Default Loss</t>
        </is>
      </c>
      <c r="D35" s="57" t="inlineStr">
        <is>
          <t>No</t>
        </is>
      </c>
      <c r="E35" s="57" t="inlineStr">
        <is>
          <t>Yes</t>
        </is>
      </c>
      <c r="F35" s="59" t="inlineStr">
        <is>
          <t>Derived AppSheet value used by the app workflow, presentation, or reporting model.</t>
        </is>
      </c>
    </row>
    <row r="36" ht="15" customHeight="1">
      <c r="A36" s="57" t="inlineStr">
        <is>
          <t>Column</t>
        </is>
      </c>
      <c r="B36" s="57" t="inlineStr">
        <is>
          <t>Borrowers</t>
        </is>
      </c>
      <c r="C36" s="59" t="inlineStr">
        <is>
          <t>Portfolio Outstanding Principal</t>
        </is>
      </c>
      <c r="D36" s="57" t="inlineStr">
        <is>
          <t>No</t>
        </is>
      </c>
      <c r="E36" s="57" t="inlineStr">
        <is>
          <t>Yes</t>
        </is>
      </c>
      <c r="F36" s="59" t="inlineStr">
        <is>
          <t>Derived financial aggregate or balance for operational or analytical use.</t>
        </is>
      </c>
    </row>
    <row r="37" ht="15" customHeight="1">
      <c r="A37" s="57" t="inlineStr">
        <is>
          <t>Column</t>
        </is>
      </c>
      <c r="B37" s="57" t="inlineStr">
        <is>
          <t>Borrowers</t>
        </is>
      </c>
      <c r="C37" s="59" t="inlineStr">
        <is>
          <t>Portfolio Share Join Key</t>
        </is>
      </c>
      <c r="D37" s="57" t="inlineStr">
        <is>
          <t>No</t>
        </is>
      </c>
      <c r="E37" s="57" t="inlineStr">
        <is>
          <t>Yes</t>
        </is>
      </c>
      <c r="F37" s="59" t="inlineStr">
        <is>
          <t>Derived grouping, ordering, or join value used by reporting or app presentation.</t>
        </is>
      </c>
    </row>
    <row r="38" ht="15" customHeight="1">
      <c r="A38" s="57" t="inlineStr">
        <is>
          <t>Column</t>
        </is>
      </c>
      <c r="B38" s="57" t="inlineStr">
        <is>
          <t>Borrowers</t>
        </is>
      </c>
      <c r="C38" s="59" t="inlineStr">
        <is>
          <t>Daily Collection Status - Order</t>
        </is>
      </c>
      <c r="D38" s="57" t="inlineStr">
        <is>
          <t>Yes</t>
        </is>
      </c>
      <c r="E38" s="57" t="inlineStr">
        <is>
          <t>No</t>
        </is>
      </c>
      <c r="F38" s="59" t="inlineStr">
        <is>
          <t>Derived grouping, ordering, or join value used by reporting or app presentation.</t>
        </is>
      </c>
    </row>
    <row r="39" ht="15" customHeight="1">
      <c r="A39" s="57" t="inlineStr">
        <is>
          <t>Column</t>
        </is>
      </c>
      <c r="B39" s="57" t="inlineStr">
        <is>
          <t>Borrowers</t>
        </is>
      </c>
      <c r="C39" s="59" t="inlineStr">
        <is>
          <t>Borrower Name - Collection</t>
        </is>
      </c>
      <c r="D39" s="57" t="inlineStr">
        <is>
          <t>Yes</t>
        </is>
      </c>
      <c r="E39" s="57" t="inlineStr">
        <is>
          <t>No</t>
        </is>
      </c>
      <c r="F39" s="59" t="inlineStr">
        <is>
          <t>Derived AppSheet value used by the app workflow, presentation, or reporting model.</t>
        </is>
      </c>
    </row>
    <row r="40" ht="15" customHeight="1">
      <c r="A40" s="57" t="inlineStr">
        <is>
          <t>Column</t>
        </is>
      </c>
      <c r="B40" s="57" t="inlineStr">
        <is>
          <t>Borrowers</t>
        </is>
      </c>
      <c r="C40" s="59" t="inlineStr">
        <is>
          <t>Hidden Flag</t>
        </is>
      </c>
      <c r="D40" s="57" t="inlineStr">
        <is>
          <t>Yes</t>
        </is>
      </c>
      <c r="E40" s="57" t="inlineStr">
        <is>
          <t>No</t>
        </is>
      </c>
      <c r="F40" s="59" t="inlineStr">
        <is>
          <t>Physical Yes/No field exists in Money database and production OLTP. OLAP schema was not regenerated; the field is used only by the OLTP Visible Borrowers slice.</t>
        </is>
      </c>
    </row>
    <row r="41" ht="15" customHeight="1">
      <c r="A41" s="57" t="inlineStr">
        <is>
          <t>Column</t>
        </is>
      </c>
      <c r="B41" s="57" t="inlineStr">
        <is>
          <t>Calendar</t>
        </is>
      </c>
      <c r="C41" s="59" t="inlineStr">
        <is>
          <t>_RowNumber</t>
        </is>
      </c>
      <c r="D41" s="57" t="inlineStr">
        <is>
          <t>No</t>
        </is>
      </c>
      <c r="E41" s="57" t="inlineStr">
        <is>
          <t>Yes</t>
        </is>
      </c>
      <c r="F41" s="59" t="inlineStr">
        <is>
          <t>System-generated source-row ordinal; not a stable business key.</t>
        </is>
      </c>
    </row>
    <row r="42" ht="15" customHeight="1">
      <c r="A42" s="57" t="inlineStr">
        <is>
          <t>Column</t>
        </is>
      </c>
      <c r="B42" s="57" t="inlineStr">
        <is>
          <t>Calendar</t>
        </is>
      </c>
      <c r="C42" s="59" t="inlineStr">
        <is>
          <t>Date</t>
        </is>
      </c>
      <c r="D42" s="57" t="inlineStr">
        <is>
          <t>No</t>
        </is>
      </c>
      <c r="E42" s="57" t="inlineStr">
        <is>
          <t>Yes</t>
        </is>
      </c>
      <c r="F42" s="59" t="inlineStr">
        <is>
          <t>Stores the source date for Date.</t>
        </is>
      </c>
    </row>
    <row r="43" ht="15" customHeight="1">
      <c r="A43" s="57" t="inlineStr">
        <is>
          <t>Column</t>
        </is>
      </c>
      <c r="B43" s="57" t="inlineStr">
        <is>
          <t>Calendar</t>
        </is>
      </c>
      <c r="C43" s="59" t="inlineStr">
        <is>
          <t>Assessment Proposed Amount</t>
        </is>
      </c>
      <c r="D43" s="57" t="inlineStr">
        <is>
          <t>No</t>
        </is>
      </c>
      <c r="E43" s="57" t="inlineStr">
        <is>
          <t>Yes</t>
        </is>
      </c>
      <c r="F43" s="59" t="inlineStr">
        <is>
          <t>Derived financial aggregate or balance for operational or analytical use.</t>
        </is>
      </c>
    </row>
    <row r="44" ht="15" customHeight="1">
      <c r="A44" s="57" t="inlineStr">
        <is>
          <t>Column</t>
        </is>
      </c>
      <c r="B44" s="57" t="inlineStr">
        <is>
          <t>Calendar</t>
        </is>
      </c>
      <c r="C44" s="59" t="inlineStr">
        <is>
          <t>Assessment Borrower</t>
        </is>
      </c>
      <c r="D44" s="57" t="inlineStr">
        <is>
          <t>No</t>
        </is>
      </c>
      <c r="E44" s="57" t="inlineStr">
        <is>
          <t>Yes</t>
        </is>
      </c>
      <c r="F44" s="59" t="inlineStr">
        <is>
          <t>Reference key that links this row to the configured parent table.</t>
        </is>
      </c>
    </row>
    <row r="45" ht="15" customHeight="1">
      <c r="A45" s="57" t="inlineStr">
        <is>
          <t>Column</t>
        </is>
      </c>
      <c r="B45" s="57" t="inlineStr">
        <is>
          <t>Calendar</t>
        </is>
      </c>
      <c r="C45" s="59" t="inlineStr">
        <is>
          <t>Assessment Minimum Rate</t>
        </is>
      </c>
      <c r="D45" s="57" t="inlineStr">
        <is>
          <t>No</t>
        </is>
      </c>
      <c r="E45" s="57" t="inlineStr">
        <is>
          <t>Yes</t>
        </is>
      </c>
      <c r="F45" s="59" t="inlineStr">
        <is>
          <t>Derived ratio or performance measure calculated from governed source values.</t>
        </is>
      </c>
    </row>
    <row r="46" ht="15" customHeight="1">
      <c r="A46" s="57" t="inlineStr">
        <is>
          <t>Column</t>
        </is>
      </c>
      <c r="B46" s="57" t="inlineStr">
        <is>
          <t>Calendar</t>
        </is>
      </c>
      <c r="C46" s="59" t="inlineStr">
        <is>
          <t>Projected Outstanding Principal</t>
        </is>
      </c>
      <c r="D46" s="57" t="inlineStr">
        <is>
          <t>No</t>
        </is>
      </c>
      <c r="E46" s="57" t="inlineStr">
        <is>
          <t>Yes</t>
        </is>
      </c>
      <c r="F46" s="59" t="inlineStr">
        <is>
          <t>Derived financial aggregate or balance for operational or analytical use.</t>
        </is>
      </c>
    </row>
    <row r="47" ht="15" customHeight="1">
      <c r="A47" s="57" t="inlineStr">
        <is>
          <t>Column</t>
        </is>
      </c>
      <c r="B47" s="57" t="inlineStr">
        <is>
          <t>Calendar</t>
        </is>
      </c>
      <c r="C47" s="59" t="inlineStr">
        <is>
          <t>Projected Interest</t>
        </is>
      </c>
      <c r="D47" s="57" t="inlineStr">
        <is>
          <t>No</t>
        </is>
      </c>
      <c r="E47" s="57" t="inlineStr">
        <is>
          <t>Yes</t>
        </is>
      </c>
      <c r="F47" s="59" t="inlineStr">
        <is>
          <t>Derived financial aggregate or balance for operational or analytical use.</t>
        </is>
      </c>
    </row>
    <row r="48" ht="15" customHeight="1">
      <c r="A48" s="57" t="inlineStr">
        <is>
          <t>Column</t>
        </is>
      </c>
      <c r="B48" s="57" t="inlineStr">
        <is>
          <t>Calendar</t>
        </is>
      </c>
      <c r="C48" s="59" t="inlineStr">
        <is>
          <t>Candidate Day Index</t>
        </is>
      </c>
      <c r="D48" s="57" t="inlineStr">
        <is>
          <t>No</t>
        </is>
      </c>
      <c r="E48" s="57" t="inlineStr">
        <is>
          <t>Yes</t>
        </is>
      </c>
      <c r="F48" s="59" t="inlineStr">
        <is>
          <t>Derived date, time-window, age, or delinquency measure.</t>
        </is>
      </c>
    </row>
    <row r="49" ht="15" customHeight="1">
      <c r="A49" s="57" t="inlineStr">
        <is>
          <t>Column</t>
        </is>
      </c>
      <c r="B49" s="57" t="inlineStr">
        <is>
          <t>Calendar</t>
        </is>
      </c>
      <c r="C49" s="59" t="inlineStr">
        <is>
          <t>Assessment Principal Base</t>
        </is>
      </c>
      <c r="D49" s="57" t="inlineStr">
        <is>
          <t>No</t>
        </is>
      </c>
      <c r="E49" s="57" t="inlineStr">
        <is>
          <t>Yes</t>
        </is>
      </c>
      <c r="F49" s="59" t="inlineStr">
        <is>
          <t>Derived financial aggregate or balance for operational or analytical use.</t>
        </is>
      </c>
    </row>
    <row r="50" ht="15" customHeight="1">
      <c r="A50" s="57" t="inlineStr">
        <is>
          <t>Column</t>
        </is>
      </c>
      <c r="B50" s="57" t="inlineStr">
        <is>
          <t>Calendar</t>
        </is>
      </c>
      <c r="C50" s="59" t="inlineStr">
        <is>
          <t>Assessment Principal Start Weight</t>
        </is>
      </c>
      <c r="D50" s="57" t="inlineStr">
        <is>
          <t>No</t>
        </is>
      </c>
      <c r="E50" s="57" t="inlineStr">
        <is>
          <t>Yes</t>
        </is>
      </c>
      <c r="F50" s="59" t="inlineStr">
        <is>
          <t>Derived financial aggregate or balance for operational or analytical use.</t>
        </is>
      </c>
    </row>
    <row r="51" ht="15" customHeight="1">
      <c r="A51" s="57" t="inlineStr">
        <is>
          <t>Column</t>
        </is>
      </c>
      <c r="B51" s="57" t="inlineStr">
        <is>
          <t>Calendar</t>
        </is>
      </c>
      <c r="C51" s="59" t="inlineStr">
        <is>
          <t>Minimum Required Profit</t>
        </is>
      </c>
      <c r="D51" s="57" t="inlineStr">
        <is>
          <t>No</t>
        </is>
      </c>
      <c r="E51" s="57" t="inlineStr">
        <is>
          <t>Yes</t>
        </is>
      </c>
      <c r="F51" s="59" t="inlineStr">
        <is>
          <t>Derived financial aggregate or balance for operational or analytical use.</t>
        </is>
      </c>
    </row>
    <row r="52" ht="15" customHeight="1">
      <c r="A52" s="57" t="inlineStr">
        <is>
          <t>Column</t>
        </is>
      </c>
      <c r="B52" s="57" t="inlineStr">
        <is>
          <t>Calendar</t>
        </is>
      </c>
      <c r="C52" s="59" t="inlineStr">
        <is>
          <t>Required Coverage</t>
        </is>
      </c>
      <c r="D52" s="57" t="inlineStr">
        <is>
          <t>No</t>
        </is>
      </c>
      <c r="E52" s="57" t="inlineStr">
        <is>
          <t>Yes</t>
        </is>
      </c>
      <c r="F52" s="59" t="inlineStr">
        <is>
          <t>Derived ratio or performance measure calculated from governed source values.</t>
        </is>
      </c>
    </row>
    <row r="53" ht="15" customHeight="1">
      <c r="A53" s="57" t="inlineStr">
        <is>
          <t>Column</t>
        </is>
      </c>
      <c r="B53" s="57" t="inlineStr">
        <is>
          <t>Calendar</t>
        </is>
      </c>
      <c r="C53" s="59" t="inlineStr">
        <is>
          <t>Coverage Margin</t>
        </is>
      </c>
      <c r="D53" s="57" t="inlineStr">
        <is>
          <t>No</t>
        </is>
      </c>
      <c r="E53" s="57" t="inlineStr">
        <is>
          <t>Yes</t>
        </is>
      </c>
      <c r="F53" s="59" t="inlineStr">
        <is>
          <t>Derived ratio or performance measure calculated from governed source values.</t>
        </is>
      </c>
    </row>
    <row r="54" ht="15" customHeight="1">
      <c r="A54" s="57" t="inlineStr">
        <is>
          <t>Column</t>
        </is>
      </c>
      <c r="B54" s="57" t="inlineStr">
        <is>
          <t>Calendar</t>
        </is>
      </c>
      <c r="C54" s="59" t="inlineStr">
        <is>
          <t>Eligible</t>
        </is>
      </c>
      <c r="D54" s="57" t="inlineStr">
        <is>
          <t>No</t>
        </is>
      </c>
      <c r="E54" s="57" t="inlineStr">
        <is>
          <t>Yes</t>
        </is>
      </c>
      <c r="F54" s="59" t="inlineStr">
        <is>
          <t>Derived business-state or risk indicator.</t>
        </is>
      </c>
    </row>
    <row r="55" ht="15" customHeight="1">
      <c r="A55" s="57" t="inlineStr">
        <is>
          <t>Column</t>
        </is>
      </c>
      <c r="B55" s="57" t="inlineStr">
        <is>
          <t>Calendar</t>
        </is>
      </c>
      <c r="C55" s="59" t="inlineStr">
        <is>
          <t>Year</t>
        </is>
      </c>
      <c r="D55" s="57" t="inlineStr">
        <is>
          <t>No</t>
        </is>
      </c>
      <c r="E55" s="57" t="inlineStr">
        <is>
          <t>Yes</t>
        </is>
      </c>
      <c r="F55" s="59" t="inlineStr">
        <is>
          <t>Derived date, time-window, age, or delinquency measure.</t>
        </is>
      </c>
    </row>
    <row r="56" ht="15" customHeight="1">
      <c r="A56" s="57" t="inlineStr">
        <is>
          <t>Column</t>
        </is>
      </c>
      <c r="B56" s="57" t="inlineStr">
        <is>
          <t>Calendar</t>
        </is>
      </c>
      <c r="C56" s="59" t="inlineStr">
        <is>
          <t>Month</t>
        </is>
      </c>
      <c r="D56" s="57" t="inlineStr">
        <is>
          <t>No</t>
        </is>
      </c>
      <c r="E56" s="57" t="inlineStr">
        <is>
          <t>Yes</t>
        </is>
      </c>
      <c r="F56" s="59" t="inlineStr">
        <is>
          <t>Derived date, time-window, age, or delinquency measure.</t>
        </is>
      </c>
    </row>
    <row r="57" ht="15" customHeight="1">
      <c r="A57" s="57" t="inlineStr">
        <is>
          <t>Column</t>
        </is>
      </c>
      <c r="B57" s="57" t="inlineStr">
        <is>
          <t>Calendar</t>
        </is>
      </c>
      <c r="C57" s="59" t="inlineStr">
        <is>
          <t>Month Name</t>
        </is>
      </c>
      <c r="D57" s="57" t="inlineStr">
        <is>
          <t>No</t>
        </is>
      </c>
      <c r="E57" s="57" t="inlineStr">
        <is>
          <t>Yes</t>
        </is>
      </c>
      <c r="F57" s="59" t="inlineStr">
        <is>
          <t>Derived date, time-window, age, or delinquency measure.</t>
        </is>
      </c>
    </row>
    <row r="58" ht="15" customHeight="1">
      <c r="A58" s="57" t="inlineStr">
        <is>
          <t>Column</t>
        </is>
      </c>
      <c r="B58" s="57" t="inlineStr">
        <is>
          <t>Calendar</t>
        </is>
      </c>
      <c r="C58" s="59" t="inlineStr">
        <is>
          <t>Year Month</t>
        </is>
      </c>
      <c r="D58" s="57" t="inlineStr">
        <is>
          <t>No</t>
        </is>
      </c>
      <c r="E58" s="57" t="inlineStr">
        <is>
          <t>Yes</t>
        </is>
      </c>
      <c r="F58" s="59" t="inlineStr">
        <is>
          <t>Derived date, time-window, age, or delinquency measure.</t>
        </is>
      </c>
    </row>
    <row r="59" ht="15" customHeight="1">
      <c r="A59" s="57" t="inlineStr">
        <is>
          <t>Column</t>
        </is>
      </c>
      <c r="B59" s="57" t="inlineStr">
        <is>
          <t>Calendar</t>
        </is>
      </c>
      <c r="C59" s="59" t="inlineStr">
        <is>
          <t>Week</t>
        </is>
      </c>
      <c r="D59" s="57" t="inlineStr">
        <is>
          <t>No</t>
        </is>
      </c>
      <c r="E59" s="57" t="inlineStr">
        <is>
          <t>Yes</t>
        </is>
      </c>
      <c r="F59" s="59" t="inlineStr">
        <is>
          <t>Derived date, time-window, age, or delinquency measure.</t>
        </is>
      </c>
    </row>
    <row r="60" ht="15" customHeight="1">
      <c r="A60" s="57" t="inlineStr">
        <is>
          <t>Column</t>
        </is>
      </c>
      <c r="B60" s="57" t="inlineStr">
        <is>
          <t>Calendar</t>
        </is>
      </c>
      <c r="C60" s="59" t="inlineStr">
        <is>
          <t>Year Week</t>
        </is>
      </c>
      <c r="D60" s="57" t="inlineStr">
        <is>
          <t>No</t>
        </is>
      </c>
      <c r="E60" s="57" t="inlineStr">
        <is>
          <t>Yes</t>
        </is>
      </c>
      <c r="F60" s="59" t="inlineStr">
        <is>
          <t>Derived date, time-window, age, or delinquency measure.</t>
        </is>
      </c>
    </row>
    <row r="61" ht="15" customHeight="1">
      <c r="A61" s="57" t="inlineStr">
        <is>
          <t>Column</t>
        </is>
      </c>
      <c r="B61" s="57" t="inlineStr">
        <is>
          <t>Calendar</t>
        </is>
      </c>
      <c r="C61" s="59" t="inlineStr">
        <is>
          <t>Week Start</t>
        </is>
      </c>
      <c r="D61" s="57" t="inlineStr">
        <is>
          <t>No</t>
        </is>
      </c>
      <c r="E61" s="57" t="inlineStr">
        <is>
          <t>Yes</t>
        </is>
      </c>
      <c r="F61" s="59" t="inlineStr">
        <is>
          <t>Derived date, time-window, age, or delinquency measure.</t>
        </is>
      </c>
    </row>
    <row r="62" ht="15" customHeight="1">
      <c r="A62" s="57" t="inlineStr">
        <is>
          <t>Column</t>
        </is>
      </c>
      <c r="B62" s="57" t="inlineStr">
        <is>
          <t>Calendar</t>
        </is>
      </c>
      <c r="C62" s="59" t="inlineStr">
        <is>
          <t>Quarter</t>
        </is>
      </c>
      <c r="D62" s="57" t="inlineStr">
        <is>
          <t>No</t>
        </is>
      </c>
      <c r="E62" s="57" t="inlineStr">
        <is>
          <t>Yes</t>
        </is>
      </c>
      <c r="F62" s="59" t="inlineStr">
        <is>
          <t>Derived AppSheet value used by the app workflow, presentation, or reporting model.</t>
        </is>
      </c>
    </row>
    <row r="63" ht="15" customHeight="1">
      <c r="A63" s="57" t="inlineStr">
        <is>
          <t>Column</t>
        </is>
      </c>
      <c r="B63" s="57" t="inlineStr">
        <is>
          <t>Calendar</t>
        </is>
      </c>
      <c r="C63" s="59" t="inlineStr">
        <is>
          <t>Day of Week</t>
        </is>
      </c>
      <c r="D63" s="57" t="inlineStr">
        <is>
          <t>No</t>
        </is>
      </c>
      <c r="E63" s="57" t="inlineStr">
        <is>
          <t>Yes</t>
        </is>
      </c>
      <c r="F63" s="59" t="inlineStr">
        <is>
          <t>Derived date, time-window, age, or delinquency measure.</t>
        </is>
      </c>
    </row>
    <row r="64" ht="15" customHeight="1">
      <c r="A64" s="57" t="inlineStr">
        <is>
          <t>Column</t>
        </is>
      </c>
      <c r="B64" s="57" t="inlineStr">
        <is>
          <t>Calendar</t>
        </is>
      </c>
      <c r="C64" s="59" t="inlineStr">
        <is>
          <t>Day of Month</t>
        </is>
      </c>
      <c r="D64" s="57" t="inlineStr">
        <is>
          <t>No</t>
        </is>
      </c>
      <c r="E64" s="57" t="inlineStr">
        <is>
          <t>Yes</t>
        </is>
      </c>
      <c r="F64" s="59" t="inlineStr">
        <is>
          <t>Derived date, time-window, age, or delinquency measure.</t>
        </is>
      </c>
    </row>
    <row r="65" ht="15" customHeight="1">
      <c r="A65" s="57" t="inlineStr">
        <is>
          <t>Column</t>
        </is>
      </c>
      <c r="B65" s="57" t="inlineStr">
        <is>
          <t>Cash Pool Contributions</t>
        </is>
      </c>
      <c r="C65" s="59" t="inlineStr">
        <is>
          <t>_RowNumber</t>
        </is>
      </c>
      <c r="D65" s="57" t="inlineStr">
        <is>
          <t>No</t>
        </is>
      </c>
      <c r="E65" s="57" t="inlineStr">
        <is>
          <t>Yes</t>
        </is>
      </c>
      <c r="F65" s="59" t="inlineStr">
        <is>
          <t>System-generated source-row ordinal; not a stable business key.</t>
        </is>
      </c>
    </row>
    <row r="66" ht="15" customHeight="1">
      <c r="A66" s="57" t="inlineStr">
        <is>
          <t>Column</t>
        </is>
      </c>
      <c r="B66" s="57" t="inlineStr">
        <is>
          <t>Cash Pool Contributions</t>
        </is>
      </c>
      <c r="C66" s="59" t="inlineStr">
        <is>
          <t>Row ID</t>
        </is>
      </c>
      <c r="D66" s="57" t="inlineStr">
        <is>
          <t>No</t>
        </is>
      </c>
      <c r="E66" s="57" t="inlineStr">
        <is>
          <t>Yes</t>
        </is>
      </c>
      <c r="F66" s="59" t="inlineStr">
        <is>
          <t>Immutable row key generated by the source database.</t>
        </is>
      </c>
    </row>
    <row r="67" ht="15" customHeight="1">
      <c r="A67" s="57" t="inlineStr">
        <is>
          <t>Column</t>
        </is>
      </c>
      <c r="B67" s="57" t="inlineStr">
        <is>
          <t>Cash Pool Contributions</t>
        </is>
      </c>
      <c r="C67" s="59" t="inlineStr">
        <is>
          <t>Ref Partner</t>
        </is>
      </c>
      <c r="D67" s="57" t="inlineStr">
        <is>
          <t>No</t>
        </is>
      </c>
      <c r="E67" s="57" t="inlineStr">
        <is>
          <t>Yes</t>
        </is>
      </c>
      <c r="F67" s="59" t="inlineStr">
        <is>
          <t>Reference key that links this row to the configured parent table.</t>
        </is>
      </c>
    </row>
    <row r="68" ht="15" customHeight="1">
      <c r="A68" s="57" t="inlineStr">
        <is>
          <t>Column</t>
        </is>
      </c>
      <c r="B68" s="57" t="inlineStr">
        <is>
          <t>Cash Pool Contributions</t>
        </is>
      </c>
      <c r="C68" s="59" t="inlineStr">
        <is>
          <t>Contribution Date</t>
        </is>
      </c>
      <c r="D68" s="57" t="inlineStr">
        <is>
          <t>No</t>
        </is>
      </c>
      <c r="E68" s="57" t="inlineStr">
        <is>
          <t>Yes</t>
        </is>
      </c>
      <c r="F68" s="59" t="inlineStr">
        <is>
          <t>Stores the source date for Contribution Date.</t>
        </is>
      </c>
    </row>
    <row r="69" ht="15" customHeight="1">
      <c r="A69" s="57" t="inlineStr">
        <is>
          <t>Column</t>
        </is>
      </c>
      <c r="B69" s="57" t="inlineStr">
        <is>
          <t>Cash Pool Contributions</t>
        </is>
      </c>
      <c r="C69" s="59" t="inlineStr">
        <is>
          <t>Transaction Type</t>
        </is>
      </c>
      <c r="D69" s="57" t="inlineStr">
        <is>
          <t>No</t>
        </is>
      </c>
      <c r="E69" s="57" t="inlineStr">
        <is>
          <t>Yes</t>
        </is>
      </c>
      <c r="F69" s="59" t="inlineStr">
        <is>
          <t>Stores the authoritative source value for Transaction Type.</t>
        </is>
      </c>
    </row>
    <row r="70" ht="15" customHeight="1">
      <c r="A70" s="57" t="inlineStr">
        <is>
          <t>Column</t>
        </is>
      </c>
      <c r="B70" s="57" t="inlineStr">
        <is>
          <t>Cash Pool Contributions</t>
        </is>
      </c>
      <c r="C70" s="59" t="inlineStr">
        <is>
          <t>Amount</t>
        </is>
      </c>
      <c r="D70" s="57" t="inlineStr">
        <is>
          <t>No</t>
        </is>
      </c>
      <c r="E70" s="57" t="inlineStr">
        <is>
          <t>Yes</t>
        </is>
      </c>
      <c r="F70" s="59" t="inlineStr">
        <is>
          <t>Stores the financially material source value for Amount.</t>
        </is>
      </c>
    </row>
    <row r="71" ht="15" customHeight="1">
      <c r="A71" s="57" t="inlineStr">
        <is>
          <t>Column</t>
        </is>
      </c>
      <c r="B71" s="57" t="inlineStr">
        <is>
          <t>Cash Pool Contributions</t>
        </is>
      </c>
      <c r="C71" s="59" t="inlineStr">
        <is>
          <t>Notes</t>
        </is>
      </c>
      <c r="D71" s="57" t="inlineStr">
        <is>
          <t>No</t>
        </is>
      </c>
      <c r="E71" s="57" t="inlineStr">
        <is>
          <t>Yes</t>
        </is>
      </c>
      <c r="F71" s="59" t="inlineStr">
        <is>
          <t>Stores the authoritative source value for Notes.</t>
        </is>
      </c>
    </row>
    <row r="72" ht="15" customHeight="1">
      <c r="A72" s="57" t="inlineStr">
        <is>
          <t>Column</t>
        </is>
      </c>
      <c r="B72" s="57" t="inlineStr">
        <is>
          <t>Cash Pool Contributions</t>
        </is>
      </c>
      <c r="C72" s="59" t="inlineStr">
        <is>
          <t>Net Contribution</t>
        </is>
      </c>
      <c r="D72" s="57" t="inlineStr">
        <is>
          <t>No</t>
        </is>
      </c>
      <c r="E72" s="57" t="inlineStr">
        <is>
          <t>Yes</t>
        </is>
      </c>
      <c r="F72" s="59" t="inlineStr">
        <is>
          <t>Derived financial aggregate or balance for operational or analytical use.</t>
        </is>
      </c>
    </row>
    <row r="73" ht="15" customHeight="1">
      <c r="A73" s="57" t="inlineStr">
        <is>
          <t>Column</t>
        </is>
      </c>
      <c r="B73" s="57" t="inlineStr">
        <is>
          <t>Cash Pool Contributions</t>
        </is>
      </c>
      <c r="C73" s="59" t="inlineStr">
        <is>
          <t>Transaction Type TE</t>
        </is>
      </c>
      <c r="D73" s="57" t="inlineStr">
        <is>
          <t>No</t>
        </is>
      </c>
      <c r="E73" s="57" t="inlineStr">
        <is>
          <t>Yes</t>
        </is>
      </c>
      <c r="F73" s="59" t="inlineStr">
        <is>
          <t>Presentation-oriented label or bilingual display value.</t>
        </is>
      </c>
    </row>
    <row r="74" ht="15" customHeight="1">
      <c r="A74" s="57" t="inlineStr">
        <is>
          <t>Column</t>
        </is>
      </c>
      <c r="B74" s="57" t="inlineStr">
        <is>
          <t>Charges</t>
        </is>
      </c>
      <c r="C74" s="59" t="inlineStr">
        <is>
          <t>Last Payment Date</t>
        </is>
      </c>
      <c r="D74" s="57" t="inlineStr">
        <is>
          <t>No</t>
        </is>
      </c>
      <c r="E74" s="57" t="inlineStr">
        <is>
          <t>Yes</t>
        </is>
      </c>
      <c r="F74" s="59" t="inlineStr">
        <is>
          <t>Derived date, time-window, age, or delinquency measure.</t>
        </is>
      </c>
    </row>
    <row r="75" ht="15" customHeight="1">
      <c r="A75" s="57" t="inlineStr">
        <is>
          <t>Column</t>
        </is>
      </c>
      <c r="B75" s="57" t="inlineStr">
        <is>
          <t>Charges</t>
        </is>
      </c>
      <c r="C75" s="59" t="inlineStr">
        <is>
          <t>First Payment Date</t>
        </is>
      </c>
      <c r="D75" s="57" t="inlineStr">
        <is>
          <t>No</t>
        </is>
      </c>
      <c r="E75" s="57" t="inlineStr">
        <is>
          <t>Yes</t>
        </is>
      </c>
      <c r="F75" s="59" t="inlineStr">
        <is>
          <t>Derived date, time-window, age, or delinquency measure.</t>
        </is>
      </c>
    </row>
    <row r="76" ht="15" customHeight="1">
      <c r="A76" s="57" t="inlineStr">
        <is>
          <t>Column</t>
        </is>
      </c>
      <c r="B76" s="57" t="inlineStr">
        <is>
          <t>Charges</t>
        </is>
      </c>
      <c r="C76" s="59" t="inlineStr">
        <is>
          <t>Days Late</t>
        </is>
      </c>
      <c r="D76" s="57" t="inlineStr">
        <is>
          <t>No</t>
        </is>
      </c>
      <c r="E76" s="57" t="inlineStr">
        <is>
          <t>Yes</t>
        </is>
      </c>
      <c r="F76" s="59" t="inlineStr">
        <is>
          <t>Derived business-state or risk indicator.</t>
        </is>
      </c>
    </row>
    <row r="77" ht="15" customHeight="1">
      <c r="A77" s="57" t="inlineStr">
        <is>
          <t>Column</t>
        </is>
      </c>
      <c r="B77" s="57" t="inlineStr">
        <is>
          <t>Charges</t>
        </is>
      </c>
      <c r="C77" s="59" t="inlineStr">
        <is>
          <t>Historical On Time</t>
        </is>
      </c>
      <c r="D77" s="57" t="inlineStr">
        <is>
          <t>No</t>
        </is>
      </c>
      <c r="E77" s="57" t="inlineStr">
        <is>
          <t>Yes</t>
        </is>
      </c>
      <c r="F77" s="59" t="inlineStr">
        <is>
          <t>Derived business-state or risk indicator.</t>
        </is>
      </c>
    </row>
    <row r="78" ht="15" customHeight="1">
      <c r="A78" s="57" t="inlineStr">
        <is>
          <t>Column</t>
        </is>
      </c>
      <c r="B78" s="57" t="inlineStr">
        <is>
          <t>Charges</t>
        </is>
      </c>
      <c r="C78" s="59" t="inlineStr">
        <is>
          <t>Historical Late</t>
        </is>
      </c>
      <c r="D78" s="57" t="inlineStr">
        <is>
          <t>No</t>
        </is>
      </c>
      <c r="E78" s="57" t="inlineStr">
        <is>
          <t>Yes</t>
        </is>
      </c>
      <c r="F78" s="59" t="inlineStr">
        <is>
          <t>Derived business-state or risk indicator.</t>
        </is>
      </c>
    </row>
    <row r="79" ht="15" customHeight="1">
      <c r="A79" s="57" t="inlineStr">
        <is>
          <t>Column</t>
        </is>
      </c>
      <c r="B79" s="57" t="inlineStr">
        <is>
          <t>Charges</t>
        </is>
      </c>
      <c r="C79" s="59" t="inlineStr">
        <is>
          <t>Payment Count</t>
        </is>
      </c>
      <c r="D79" s="57" t="inlineStr">
        <is>
          <t>Yes</t>
        </is>
      </c>
      <c r="E79" s="57" t="inlineStr">
        <is>
          <t>No</t>
        </is>
      </c>
      <c r="F79" s="59" t="inlineStr">
        <is>
          <t>Derived count used for workload, portfolio, or risk analysis.</t>
        </is>
      </c>
    </row>
    <row r="80" ht="15" customHeight="1">
      <c r="A80" s="57" t="inlineStr">
        <is>
          <t>Column</t>
        </is>
      </c>
      <c r="B80" s="57" t="inlineStr">
        <is>
          <t>Charges</t>
        </is>
      </c>
      <c r="C80" s="59" t="inlineStr">
        <is>
          <t>Days Outstanding</t>
        </is>
      </c>
      <c r="D80" s="57" t="inlineStr">
        <is>
          <t>Yes</t>
        </is>
      </c>
      <c r="E80" s="57" t="inlineStr">
        <is>
          <t>No</t>
        </is>
      </c>
      <c r="F80" s="59" t="inlineStr">
        <is>
          <t>Derived date, time-window, age, or delinquency measure.</t>
        </is>
      </c>
    </row>
    <row r="81" ht="15" customHeight="1">
      <c r="A81" s="57" t="inlineStr">
        <is>
          <t>Column</t>
        </is>
      </c>
      <c r="B81" s="57" t="inlineStr">
        <is>
          <t>Daily Analytics</t>
        </is>
      </c>
      <c r="C81" s="59" t="inlineStr">
        <is>
          <t>_RowNumber</t>
        </is>
      </c>
      <c r="D81" s="57" t="inlineStr">
        <is>
          <t>No</t>
        </is>
      </c>
      <c r="E81" s="57" t="inlineStr">
        <is>
          <t>Yes</t>
        </is>
      </c>
      <c r="F81" s="59" t="inlineStr">
        <is>
          <t>System-generated source-row ordinal; not a stable business key.</t>
        </is>
      </c>
    </row>
    <row r="82" ht="15" customHeight="1">
      <c r="A82" s="57" t="inlineStr">
        <is>
          <t>Column</t>
        </is>
      </c>
      <c r="B82" s="57" t="inlineStr">
        <is>
          <t>Daily Analytics</t>
        </is>
      </c>
      <c r="C82" s="59" t="inlineStr">
        <is>
          <t>Row ID</t>
        </is>
      </c>
      <c r="D82" s="57" t="inlineStr">
        <is>
          <t>No</t>
        </is>
      </c>
      <c r="E82" s="57" t="inlineStr">
        <is>
          <t>Yes</t>
        </is>
      </c>
      <c r="F82" s="59" t="inlineStr">
        <is>
          <t>Immutable row key generated by the source database.</t>
        </is>
      </c>
    </row>
    <row r="83" ht="15" customHeight="1">
      <c r="A83" s="57" t="inlineStr">
        <is>
          <t>Column</t>
        </is>
      </c>
      <c r="B83" s="57" t="inlineStr">
        <is>
          <t>Daily Analytics</t>
        </is>
      </c>
      <c r="C83" s="59" t="inlineStr">
        <is>
          <t>Snapshot Date</t>
        </is>
      </c>
      <c r="D83" s="57" t="inlineStr">
        <is>
          <t>No</t>
        </is>
      </c>
      <c r="E83" s="57" t="inlineStr">
        <is>
          <t>Yes</t>
        </is>
      </c>
      <c r="F83" s="59" t="inlineStr">
        <is>
          <t>Stores the source date for Snapshot Date.</t>
        </is>
      </c>
    </row>
    <row r="84" ht="15" customHeight="1">
      <c r="A84" s="57" t="inlineStr">
        <is>
          <t>Column</t>
        </is>
      </c>
      <c r="B84" s="57" t="inlineStr">
        <is>
          <t>Daily Analytics</t>
        </is>
      </c>
      <c r="C84" s="59" t="inlineStr">
        <is>
          <t>Generated At</t>
        </is>
      </c>
      <c r="D84" s="57" t="inlineStr">
        <is>
          <t>No</t>
        </is>
      </c>
      <c r="E84" s="57" t="inlineStr">
        <is>
          <t>Yes</t>
        </is>
      </c>
      <c r="F84" s="59" t="inlineStr">
        <is>
          <t>Stores the authoritative source value for Generated At.</t>
        </is>
      </c>
    </row>
    <row r="85" ht="15" customHeight="1">
      <c r="A85" s="57" t="inlineStr">
        <is>
          <t>Column</t>
        </is>
      </c>
      <c r="B85" s="57" t="inlineStr">
        <is>
          <t>Daily Analytics</t>
        </is>
      </c>
      <c r="C85" s="59" t="inlineStr">
        <is>
          <t>Model Version</t>
        </is>
      </c>
      <c r="D85" s="57" t="inlineStr">
        <is>
          <t>No</t>
        </is>
      </c>
      <c r="E85" s="57" t="inlineStr">
        <is>
          <t>Yes</t>
        </is>
      </c>
      <c r="F85" s="59" t="inlineStr">
        <is>
          <t>Stores the authoritative source value for Model Version.</t>
        </is>
      </c>
    </row>
    <row r="86" ht="15" customHeight="1">
      <c r="A86" s="57" t="inlineStr">
        <is>
          <t>Column</t>
        </is>
      </c>
      <c r="B86" s="57" t="inlineStr">
        <is>
          <t>Daily Analytics</t>
        </is>
      </c>
      <c r="C86" s="59" t="inlineStr">
        <is>
          <t>Principal Issued</t>
        </is>
      </c>
      <c r="D86" s="57" t="inlineStr">
        <is>
          <t>No</t>
        </is>
      </c>
      <c r="E86" s="57" t="inlineStr">
        <is>
          <t>Yes</t>
        </is>
      </c>
      <c r="F86" s="59" t="inlineStr">
        <is>
          <t>Stores the financially material source value for Principal Issued.</t>
        </is>
      </c>
    </row>
    <row r="87" ht="15" customHeight="1">
      <c r="A87" s="57" t="inlineStr">
        <is>
          <t>Column</t>
        </is>
      </c>
      <c r="B87" s="57" t="inlineStr">
        <is>
          <t>Daily Analytics</t>
        </is>
      </c>
      <c r="C87" s="59" t="inlineStr">
        <is>
          <t>Loans Issued</t>
        </is>
      </c>
      <c r="D87" s="57" t="inlineStr">
        <is>
          <t>No</t>
        </is>
      </c>
      <c r="E87" s="57" t="inlineStr">
        <is>
          <t>Yes</t>
        </is>
      </c>
      <c r="F87" s="59" t="inlineStr">
        <is>
          <t>Stores the authoritative source value for Loans Issued.</t>
        </is>
      </c>
    </row>
    <row r="88" ht="15" customHeight="1">
      <c r="A88" s="57" t="inlineStr">
        <is>
          <t>Column</t>
        </is>
      </c>
      <c r="B88" s="57" t="inlineStr">
        <is>
          <t>Daily Analytics</t>
        </is>
      </c>
      <c r="C88" s="59" t="inlineStr">
        <is>
          <t>Principal Returned</t>
        </is>
      </c>
      <c r="D88" s="57" t="inlineStr">
        <is>
          <t>No</t>
        </is>
      </c>
      <c r="E88" s="57" t="inlineStr">
        <is>
          <t>Yes</t>
        </is>
      </c>
      <c r="F88" s="59" t="inlineStr">
        <is>
          <t>Stores the financially material source value for Principal Returned.</t>
        </is>
      </c>
    </row>
    <row r="89" ht="15" customHeight="1">
      <c r="A89" s="57" t="inlineStr">
        <is>
          <t>Column</t>
        </is>
      </c>
      <c r="B89" s="57" t="inlineStr">
        <is>
          <t>Daily Analytics</t>
        </is>
      </c>
      <c r="C89" s="59" t="inlineStr">
        <is>
          <t>Interest Received</t>
        </is>
      </c>
      <c r="D89" s="57" t="inlineStr">
        <is>
          <t>No</t>
        </is>
      </c>
      <c r="E89" s="57" t="inlineStr">
        <is>
          <t>Yes</t>
        </is>
      </c>
      <c r="F89" s="59" t="inlineStr">
        <is>
          <t>Stores the financially material source value for Interest Received.</t>
        </is>
      </c>
    </row>
    <row r="90" ht="15" customHeight="1">
      <c r="A90" s="57" t="inlineStr">
        <is>
          <t>Column</t>
        </is>
      </c>
      <c r="B90" s="57" t="inlineStr">
        <is>
          <t>Daily Analytics</t>
        </is>
      </c>
      <c r="C90" s="59" t="inlineStr">
        <is>
          <t>Repayments Count</t>
        </is>
      </c>
      <c r="D90" s="57" t="inlineStr">
        <is>
          <t>No</t>
        </is>
      </c>
      <c r="E90" s="57" t="inlineStr">
        <is>
          <t>Yes</t>
        </is>
      </c>
      <c r="F90" s="59" t="inlineStr">
        <is>
          <t>Stores the authoritative source value for Repayments Count.</t>
        </is>
      </c>
    </row>
    <row r="91" ht="15" customHeight="1">
      <c r="A91" s="57" t="inlineStr">
        <is>
          <t>Column</t>
        </is>
      </c>
      <c r="B91" s="57" t="inlineStr">
        <is>
          <t>Daily Analytics</t>
        </is>
      </c>
      <c r="C91" s="59" t="inlineStr">
        <is>
          <t>Outstanding Principal EOD</t>
        </is>
      </c>
      <c r="D91" s="57" t="inlineStr">
        <is>
          <t>No</t>
        </is>
      </c>
      <c r="E91" s="57" t="inlineStr">
        <is>
          <t>Yes</t>
        </is>
      </c>
      <c r="F91" s="59" t="inlineStr">
        <is>
          <t>Stores the financially material source value for Outstanding Principal EOD.</t>
        </is>
      </c>
    </row>
    <row r="92" ht="15" customHeight="1">
      <c r="A92" s="57" t="inlineStr">
        <is>
          <t>Column</t>
        </is>
      </c>
      <c r="B92" s="57" t="inlineStr">
        <is>
          <t>Daily Analytics</t>
        </is>
      </c>
      <c r="C92" s="59" t="inlineStr">
        <is>
          <t>Active Loans EOD</t>
        </is>
      </c>
      <c r="D92" s="57" t="inlineStr">
        <is>
          <t>No</t>
        </is>
      </c>
      <c r="E92" s="57" t="inlineStr">
        <is>
          <t>Yes</t>
        </is>
      </c>
      <c r="F92" s="59" t="inlineStr">
        <is>
          <t>Stores the authoritative source value for Active Loans EOD.</t>
        </is>
      </c>
    </row>
    <row r="93" ht="15" customHeight="1">
      <c r="A93" s="57" t="inlineStr">
        <is>
          <t>Column</t>
        </is>
      </c>
      <c r="B93" s="57" t="inlineStr">
        <is>
          <t>Daily Analytics</t>
        </is>
      </c>
      <c r="C93" s="59" t="inlineStr">
        <is>
          <t>Active Borrowers EOD</t>
        </is>
      </c>
      <c r="D93" s="57" t="inlineStr">
        <is>
          <t>No</t>
        </is>
      </c>
      <c r="E93" s="57" t="inlineStr">
        <is>
          <t>Yes</t>
        </is>
      </c>
      <c r="F93" s="59" t="inlineStr">
        <is>
          <t>Stores the authoritative source value for Active Borrowers EOD.</t>
        </is>
      </c>
    </row>
    <row r="94" ht="15" customHeight="1">
      <c r="A94" s="57" t="inlineStr">
        <is>
          <t>Column</t>
        </is>
      </c>
      <c r="B94" s="57" t="inlineStr">
        <is>
          <t>Daily Analytics</t>
        </is>
      </c>
      <c r="C94" s="59" t="inlineStr">
        <is>
          <t>Pending Charges EOD</t>
        </is>
      </c>
      <c r="D94" s="57" t="inlineStr">
        <is>
          <t>No</t>
        </is>
      </c>
      <c r="E94" s="57" t="inlineStr">
        <is>
          <t>Yes</t>
        </is>
      </c>
      <c r="F94" s="59" t="inlineStr">
        <is>
          <t>Stores the authoritative source value for Pending Charges EOD.</t>
        </is>
      </c>
    </row>
    <row r="95" ht="15" customHeight="1">
      <c r="A95" s="57" t="inlineStr">
        <is>
          <t>Column</t>
        </is>
      </c>
      <c r="B95" s="57" t="inlineStr">
        <is>
          <t>Daily Analytics</t>
        </is>
      </c>
      <c r="C95" s="59" t="inlineStr">
        <is>
          <t>Total Cash Pool EOD</t>
        </is>
      </c>
      <c r="D95" s="57" t="inlineStr">
        <is>
          <t>No</t>
        </is>
      </c>
      <c r="E95" s="57" t="inlineStr">
        <is>
          <t>Yes</t>
        </is>
      </c>
      <c r="F95" s="59" t="inlineStr">
        <is>
          <t>Stores the financially material source value for Total Cash Pool EOD.</t>
        </is>
      </c>
    </row>
    <row r="96" ht="15" customHeight="1">
      <c r="A96" s="57" t="inlineStr">
        <is>
          <t>Column</t>
        </is>
      </c>
      <c r="B96" s="57" t="inlineStr">
        <is>
          <t>Daily Analytics</t>
        </is>
      </c>
      <c r="C96" s="59" t="inlineStr">
        <is>
          <t>Available Cash EOD</t>
        </is>
      </c>
      <c r="D96" s="57" t="inlineStr">
        <is>
          <t>No</t>
        </is>
      </c>
      <c r="E96" s="57" t="inlineStr">
        <is>
          <t>Yes</t>
        </is>
      </c>
      <c r="F96" s="59" t="inlineStr">
        <is>
          <t>Stores the financially material source value for Available Cash EOD.</t>
        </is>
      </c>
    </row>
    <row r="97" ht="15" customHeight="1">
      <c r="A97" s="57" t="inlineStr">
        <is>
          <t>Column</t>
        </is>
      </c>
      <c r="B97" s="57" t="inlineStr">
        <is>
          <t>Daily Analytics</t>
        </is>
      </c>
      <c r="C97" s="59" t="inlineStr">
        <is>
          <t>Unsettled Profit EOD</t>
        </is>
      </c>
      <c r="D97" s="57" t="inlineStr">
        <is>
          <t>No</t>
        </is>
      </c>
      <c r="E97" s="57" t="inlineStr">
        <is>
          <t>Yes</t>
        </is>
      </c>
      <c r="F97" s="59" t="inlineStr">
        <is>
          <t>Stores the financially material source value for Unsettled Profit EOD.</t>
        </is>
      </c>
    </row>
    <row r="98" ht="15" customHeight="1">
      <c r="A98" s="57" t="inlineStr">
        <is>
          <t>Column</t>
        </is>
      </c>
      <c r="B98" s="57" t="inlineStr">
        <is>
          <t>Daily Analytics</t>
        </is>
      </c>
      <c r="C98" s="59" t="inlineStr">
        <is>
          <t>Week</t>
        </is>
      </c>
      <c r="D98" s="57" t="inlineStr">
        <is>
          <t>No</t>
        </is>
      </c>
      <c r="E98" s="57" t="inlineStr">
        <is>
          <t>Yes</t>
        </is>
      </c>
      <c r="F98" s="59" t="inlineStr">
        <is>
          <t>Derived date, time-window, age, or delinquency measure.</t>
        </is>
      </c>
    </row>
    <row r="99" ht="15" customHeight="1">
      <c r="A99" s="57" t="inlineStr">
        <is>
          <t>Column</t>
        </is>
      </c>
      <c r="B99" s="57" t="inlineStr">
        <is>
          <t>Daily Analytics</t>
        </is>
      </c>
      <c r="C99" s="59" t="inlineStr">
        <is>
          <t>Month</t>
        </is>
      </c>
      <c r="D99" s="57" t="inlineStr">
        <is>
          <t>No</t>
        </is>
      </c>
      <c r="E99" s="57" t="inlineStr">
        <is>
          <t>Yes</t>
        </is>
      </c>
      <c r="F99" s="59" t="inlineStr">
        <is>
          <t>Derived date, time-window, age, or delinquency measure.</t>
        </is>
      </c>
    </row>
    <row r="100" ht="15" customHeight="1">
      <c r="A100" s="57" t="inlineStr">
        <is>
          <t>Column</t>
        </is>
      </c>
      <c r="B100" s="57" t="inlineStr">
        <is>
          <t>Daily Analytics</t>
        </is>
      </c>
      <c r="C100" s="59" t="inlineStr">
        <is>
          <t>Daily Capital Employed</t>
        </is>
      </c>
      <c r="D100" s="57" t="inlineStr">
        <is>
          <t>No</t>
        </is>
      </c>
      <c r="E100" s="57" t="inlineStr">
        <is>
          <t>Yes</t>
        </is>
      </c>
      <c r="F100" s="59" t="inlineStr">
        <is>
          <t>Derived AppSheet value used by the app workflow, presentation, or reporting model.</t>
        </is>
      </c>
    </row>
    <row r="101" ht="15" customHeight="1">
      <c r="A101" s="57" t="inlineStr">
        <is>
          <t>Column</t>
        </is>
      </c>
      <c r="B101" s="57" t="inlineStr">
        <is>
          <t>Daily Analytics</t>
        </is>
      </c>
      <c r="C101" s="59" t="inlineStr">
        <is>
          <t>Daily Capital Yield</t>
        </is>
      </c>
      <c r="D101" s="57" t="inlineStr">
        <is>
          <t>No</t>
        </is>
      </c>
      <c r="E101" s="57" t="inlineStr">
        <is>
          <t>Yes</t>
        </is>
      </c>
      <c r="F101" s="59" t="inlineStr">
        <is>
          <t>Derived ratio or performance measure calculated from governed source values.</t>
        </is>
      </c>
    </row>
    <row r="102" ht="15" customHeight="1">
      <c r="A102" s="57" t="inlineStr">
        <is>
          <t>Column</t>
        </is>
      </c>
      <c r="B102" s="57" t="inlineStr">
        <is>
          <t>Daily Analytics</t>
        </is>
      </c>
      <c r="C102" s="59" t="inlineStr">
        <is>
          <t>Portfolio Share Join Key</t>
        </is>
      </c>
      <c r="D102" s="57" t="inlineStr">
        <is>
          <t>No</t>
        </is>
      </c>
      <c r="E102" s="57" t="inlineStr">
        <is>
          <t>Yes</t>
        </is>
      </c>
      <c r="F102" s="59" t="inlineStr">
        <is>
          <t>Derived grouping, ordering, or join value used by reporting or app presentation.</t>
        </is>
      </c>
    </row>
    <row r="103" ht="15" customHeight="1">
      <c r="A103" s="57" t="inlineStr">
        <is>
          <t>Column</t>
        </is>
      </c>
      <c r="B103" s="57" t="inlineStr">
        <is>
          <t>Daily Analytics</t>
        </is>
      </c>
      <c r="C103" s="59" t="inlineStr">
        <is>
          <t>Portfolio Slice</t>
        </is>
      </c>
      <c r="D103" s="57" t="inlineStr">
        <is>
          <t>No</t>
        </is>
      </c>
      <c r="E103" s="57" t="inlineStr">
        <is>
          <t>Yes</t>
        </is>
      </c>
      <c r="F103" s="59" t="inlineStr">
        <is>
          <t>Derived grouping, ordering, or join value used by reporting or app presentation.</t>
        </is>
      </c>
    </row>
    <row r="104" ht="15" customHeight="1">
      <c r="A104" s="57" t="inlineStr">
        <is>
          <t>Column</t>
        </is>
      </c>
      <c r="B104" s="57" t="inlineStr">
        <is>
          <t>Loan Assessment</t>
        </is>
      </c>
      <c r="C104" s="59" t="inlineStr">
        <is>
          <t>_RowNumber</t>
        </is>
      </c>
      <c r="D104" s="57" t="inlineStr">
        <is>
          <t>No</t>
        </is>
      </c>
      <c r="E104" s="57" t="inlineStr">
        <is>
          <t>Yes</t>
        </is>
      </c>
      <c r="F104" s="59" t="inlineStr">
        <is>
          <t>System-generated source-row ordinal; not a stable business key.</t>
        </is>
      </c>
    </row>
    <row r="105" ht="15" customHeight="1">
      <c r="A105" s="57" t="inlineStr">
        <is>
          <t>Column</t>
        </is>
      </c>
      <c r="B105" s="57" t="inlineStr">
        <is>
          <t>Loan Assessment</t>
        </is>
      </c>
      <c r="C105" s="59" t="inlineStr">
        <is>
          <t>Row ID</t>
        </is>
      </c>
      <c r="D105" s="57" t="inlineStr">
        <is>
          <t>No</t>
        </is>
      </c>
      <c r="E105" s="57" t="inlineStr">
        <is>
          <t>Yes</t>
        </is>
      </c>
      <c r="F105" s="59" t="inlineStr">
        <is>
          <t>Immutable row key generated by the source database.</t>
        </is>
      </c>
    </row>
    <row r="106" ht="15" customHeight="1">
      <c r="A106" s="57" t="inlineStr">
        <is>
          <t>Column</t>
        </is>
      </c>
      <c r="B106" s="57" t="inlineStr">
        <is>
          <t>Loan Assessment</t>
        </is>
      </c>
      <c r="C106" s="59" t="inlineStr">
        <is>
          <t>Assessment ID</t>
        </is>
      </c>
      <c r="D106" s="57" t="inlineStr">
        <is>
          <t>No</t>
        </is>
      </c>
      <c r="E106" s="57" t="inlineStr">
        <is>
          <t>Yes</t>
        </is>
      </c>
      <c r="F106" s="59" t="inlineStr">
        <is>
          <t>Stores the authoritative source value for Assessment ID.</t>
        </is>
      </c>
    </row>
    <row r="107" ht="15" customHeight="1">
      <c r="A107" s="57" t="inlineStr">
        <is>
          <t>Column</t>
        </is>
      </c>
      <c r="B107" s="57" t="inlineStr">
        <is>
          <t>Loan Assessment</t>
        </is>
      </c>
      <c r="C107" s="59" t="inlineStr">
        <is>
          <t>Ref Borrower</t>
        </is>
      </c>
      <c r="D107" s="57" t="inlineStr">
        <is>
          <t>No</t>
        </is>
      </c>
      <c r="E107" s="57" t="inlineStr">
        <is>
          <t>Yes</t>
        </is>
      </c>
      <c r="F107" s="59" t="inlineStr">
        <is>
          <t>Reference key that links this row to the configured parent table.</t>
        </is>
      </c>
    </row>
    <row r="108" ht="15" customHeight="1">
      <c r="A108" s="57" t="inlineStr">
        <is>
          <t>Column</t>
        </is>
      </c>
      <c r="B108" s="57" t="inlineStr">
        <is>
          <t>Loan Assessment</t>
        </is>
      </c>
      <c r="C108" s="59" t="inlineStr">
        <is>
          <t>Proposed Loan Amount</t>
        </is>
      </c>
      <c r="D108" s="57" t="inlineStr">
        <is>
          <t>No</t>
        </is>
      </c>
      <c r="E108" s="57" t="inlineStr">
        <is>
          <t>Yes</t>
        </is>
      </c>
      <c r="F108" s="59" t="inlineStr">
        <is>
          <t>Stores the financially material source value for Proposed Loan Amount.</t>
        </is>
      </c>
    </row>
    <row r="109" ht="15" customHeight="1">
      <c r="A109" s="57" t="inlineStr">
        <is>
          <t>Column</t>
        </is>
      </c>
      <c r="B109" s="57" t="inlineStr">
        <is>
          <t>Loan Assessment</t>
        </is>
      </c>
      <c r="C109" s="59" t="inlineStr">
        <is>
          <t>Minimum Daily Profit Rate</t>
        </is>
      </c>
      <c r="D109" s="57" t="inlineStr">
        <is>
          <t>No</t>
        </is>
      </c>
      <c r="E109" s="57" t="inlineStr">
        <is>
          <t>Yes</t>
        </is>
      </c>
      <c r="F109" s="59" t="inlineStr">
        <is>
          <t>Stores the financially material source value for Minimum Daily Profit Rate.</t>
        </is>
      </c>
    </row>
    <row r="110" ht="15" customHeight="1">
      <c r="A110" s="57" t="inlineStr">
        <is>
          <t>Column</t>
        </is>
      </c>
      <c r="B110" s="57" t="inlineStr">
        <is>
          <t>Loan Assessment</t>
        </is>
      </c>
      <c r="C110" s="59" t="inlineStr">
        <is>
          <t>Current Outstanding Principal</t>
        </is>
      </c>
      <c r="D110" s="57" t="inlineStr">
        <is>
          <t>No</t>
        </is>
      </c>
      <c r="E110" s="57" t="inlineStr">
        <is>
          <t>Yes</t>
        </is>
      </c>
      <c r="F110" s="59" t="inlineStr">
        <is>
          <t>Derived financial aggregate or balance for operational or analytical use.</t>
        </is>
      </c>
    </row>
    <row r="111" ht="15" customHeight="1">
      <c r="A111" s="57" t="inlineStr">
        <is>
          <t>Column</t>
        </is>
      </c>
      <c r="B111" s="57" t="inlineStr">
        <is>
          <t>Loan Assessment</t>
        </is>
      </c>
      <c r="C111" s="59" t="inlineStr">
        <is>
          <t>Interest Earned from Active Loans</t>
        </is>
      </c>
      <c r="D111" s="57" t="inlineStr">
        <is>
          <t>No</t>
        </is>
      </c>
      <c r="E111" s="57" t="inlineStr">
        <is>
          <t>Yes</t>
        </is>
      </c>
      <c r="F111" s="59" t="inlineStr">
        <is>
          <t>Derived count used for workload, portfolio, or risk analysis.</t>
        </is>
      </c>
    </row>
    <row r="112" ht="15" customHeight="1">
      <c r="A112" s="57" t="inlineStr">
        <is>
          <t>Column</t>
        </is>
      </c>
      <c r="B112" s="57" t="inlineStr">
        <is>
          <t>Loan Assessment</t>
        </is>
      </c>
      <c r="C112" s="59" t="inlineStr">
        <is>
          <t>Earliest Eligible Date</t>
        </is>
      </c>
      <c r="D112" s="57" t="inlineStr">
        <is>
          <t>No</t>
        </is>
      </c>
      <c r="E112" s="57" t="inlineStr">
        <is>
          <t>Yes</t>
        </is>
      </c>
      <c r="F112" s="59" t="inlineStr">
        <is>
          <t>Derived business-state or risk indicator.</t>
        </is>
      </c>
    </row>
    <row r="113" ht="15" customHeight="1">
      <c r="A113" s="57" t="inlineStr">
        <is>
          <t>Column</t>
        </is>
      </c>
      <c r="B113" s="57" t="inlineStr">
        <is>
          <t>Loan Assessment</t>
        </is>
      </c>
      <c r="C113" s="59" t="inlineStr">
        <is>
          <t>Days Until Eligible</t>
        </is>
      </c>
      <c r="D113" s="57" t="inlineStr">
        <is>
          <t>No</t>
        </is>
      </c>
      <c r="E113" s="57" t="inlineStr">
        <is>
          <t>Yes</t>
        </is>
      </c>
      <c r="F113" s="59" t="inlineStr">
        <is>
          <t>Derived business-state or risk indicator.</t>
        </is>
      </c>
    </row>
    <row r="114" ht="15" customHeight="1">
      <c r="A114" s="57" t="inlineStr">
        <is>
          <t>Column</t>
        </is>
      </c>
      <c r="B114" s="57" t="inlineStr">
        <is>
          <t>Loan Assessment</t>
        </is>
      </c>
      <c r="C114" s="59" t="inlineStr">
        <is>
          <t>Projected Interest at Eligible Date</t>
        </is>
      </c>
      <c r="D114" s="57" t="inlineStr">
        <is>
          <t>No</t>
        </is>
      </c>
      <c r="E114" s="57" t="inlineStr">
        <is>
          <t>Yes</t>
        </is>
      </c>
      <c r="F114" s="59" t="inlineStr">
        <is>
          <t>Derived business-state or risk indicator.</t>
        </is>
      </c>
    </row>
    <row r="115" ht="15" customHeight="1">
      <c r="A115" s="57" t="inlineStr">
        <is>
          <t>Column</t>
        </is>
      </c>
      <c r="B115" s="57" t="inlineStr">
        <is>
          <t>Loan Assessment</t>
        </is>
      </c>
      <c r="C115" s="59" t="inlineStr">
        <is>
          <t>Outstanding Principal at Eligible Date</t>
        </is>
      </c>
      <c r="D115" s="57" t="inlineStr">
        <is>
          <t>No</t>
        </is>
      </c>
      <c r="E115" s="57" t="inlineStr">
        <is>
          <t>Yes</t>
        </is>
      </c>
      <c r="F115" s="59" t="inlineStr">
        <is>
          <t>Derived business-state or risk indicator.</t>
        </is>
      </c>
    </row>
    <row r="116" ht="15" customHeight="1">
      <c r="A116" s="57" t="inlineStr">
        <is>
          <t>Column</t>
        </is>
      </c>
      <c r="B116" s="57" t="inlineStr">
        <is>
          <t>Loan Assessment</t>
        </is>
      </c>
      <c r="C116" s="59" t="inlineStr">
        <is>
          <t>Minimum Profit at Eligible Date</t>
        </is>
      </c>
      <c r="D116" s="57" t="inlineStr">
        <is>
          <t>No</t>
        </is>
      </c>
      <c r="E116" s="57" t="inlineStr">
        <is>
          <t>Yes</t>
        </is>
      </c>
      <c r="F116" s="59" t="inlineStr">
        <is>
          <t>Derived business-state or risk indicator.</t>
        </is>
      </c>
    </row>
    <row r="117" ht="15" customHeight="1">
      <c r="A117" s="57" t="inlineStr">
        <is>
          <t>Column</t>
        </is>
      </c>
      <c r="B117" s="57" t="inlineStr">
        <is>
          <t>Loan Assessment</t>
        </is>
      </c>
      <c r="C117" s="59" t="inlineStr">
        <is>
          <t>Required Coverage at Eligible Date</t>
        </is>
      </c>
      <c r="D117" s="57" t="inlineStr">
        <is>
          <t>No</t>
        </is>
      </c>
      <c r="E117" s="57" t="inlineStr">
        <is>
          <t>Yes</t>
        </is>
      </c>
      <c r="F117" s="59" t="inlineStr">
        <is>
          <t>Derived ratio or performance measure calculated from governed source values.</t>
        </is>
      </c>
    </row>
    <row r="118" ht="15" customHeight="1">
      <c r="A118" s="57" t="inlineStr">
        <is>
          <t>Column</t>
        </is>
      </c>
      <c r="B118" s="57" t="inlineStr">
        <is>
          <t>Loan Assessment</t>
        </is>
      </c>
      <c r="C118" s="59" t="inlineStr">
        <is>
          <t>Safety Margin</t>
        </is>
      </c>
      <c r="D118" s="57" t="inlineStr">
        <is>
          <t>No</t>
        </is>
      </c>
      <c r="E118" s="57" t="inlineStr">
        <is>
          <t>Yes</t>
        </is>
      </c>
      <c r="F118" s="59" t="inlineStr">
        <is>
          <t>Derived AppSheet value used by the app workflow, presentation, or reporting model.</t>
        </is>
      </c>
    </row>
    <row r="119" ht="15" customHeight="1">
      <c r="A119" s="57" t="inlineStr">
        <is>
          <t>Column</t>
        </is>
      </c>
      <c r="B119" s="57" t="inlineStr">
        <is>
          <t>Loan Assessment</t>
        </is>
      </c>
      <c r="C119" s="59" t="inlineStr">
        <is>
          <t>Current Coverage Margin</t>
        </is>
      </c>
      <c r="D119" s="57" t="inlineStr">
        <is>
          <t>No</t>
        </is>
      </c>
      <c r="E119" s="57" t="inlineStr">
        <is>
          <t>Yes</t>
        </is>
      </c>
      <c r="F119" s="59" t="inlineStr">
        <is>
          <t>Derived ratio or performance measure calculated from governed source values.</t>
        </is>
      </c>
    </row>
    <row r="120" ht="15" customHeight="1">
      <c r="A120" s="57" t="inlineStr">
        <is>
          <t>Column</t>
        </is>
      </c>
      <c r="B120" s="57" t="inlineStr">
        <is>
          <t>Loan Assessment</t>
        </is>
      </c>
      <c r="C120" s="59" t="inlineStr">
        <is>
          <t>Coverage Ratio at Eligible Date</t>
        </is>
      </c>
      <c r="D120" s="57" t="inlineStr">
        <is>
          <t>No</t>
        </is>
      </c>
      <c r="E120" s="57" t="inlineStr">
        <is>
          <t>Yes</t>
        </is>
      </c>
      <c r="F120" s="59" t="inlineStr">
        <is>
          <t>Derived ratio or performance measure calculated from governed source values.</t>
        </is>
      </c>
    </row>
    <row r="121" ht="15" customHeight="1">
      <c r="A121" s="57" t="inlineStr">
        <is>
          <t>Column</t>
        </is>
      </c>
      <c r="B121" s="57" t="inlineStr">
        <is>
          <t>Loan Assessment</t>
        </is>
      </c>
      <c r="C121" s="59" t="inlineStr">
        <is>
          <t>Recommendation Status</t>
        </is>
      </c>
      <c r="D121" s="57" t="inlineStr">
        <is>
          <t>No</t>
        </is>
      </c>
      <c r="E121" s="57" t="inlineStr">
        <is>
          <t>Yes</t>
        </is>
      </c>
      <c r="F121" s="59" t="inlineStr">
        <is>
          <t>Derived business-state or risk indicator.</t>
        </is>
      </c>
    </row>
    <row r="122" ht="15" customHeight="1">
      <c r="A122" s="57" t="inlineStr">
        <is>
          <t>Column</t>
        </is>
      </c>
      <c r="B122" s="57" t="inlineStr">
        <is>
          <t>Loan Assessment</t>
        </is>
      </c>
      <c r="C122" s="59" t="inlineStr">
        <is>
          <t>Recommendation</t>
        </is>
      </c>
      <c r="D122" s="57" t="inlineStr">
        <is>
          <t>No</t>
        </is>
      </c>
      <c r="E122" s="57" t="inlineStr">
        <is>
          <t>Yes</t>
        </is>
      </c>
      <c r="F122" s="59" t="inlineStr">
        <is>
          <t>Derived AppSheet value used by the app workflow, presentation, or reporting model.</t>
        </is>
      </c>
    </row>
    <row r="123" ht="15" customHeight="1">
      <c r="A123" s="57" t="inlineStr">
        <is>
          <t>Column</t>
        </is>
      </c>
      <c r="B123" s="57" t="inlineStr">
        <is>
          <t>Loan Assessment</t>
        </is>
      </c>
      <c r="C123" s="59" t="inlineStr">
        <is>
          <t>Header - Current Position</t>
        </is>
      </c>
      <c r="D123" s="57" t="inlineStr">
        <is>
          <t>No</t>
        </is>
      </c>
      <c r="E123" s="57" t="inlineStr">
        <is>
          <t>Yes</t>
        </is>
      </c>
      <c r="F123" s="59" t="inlineStr">
        <is>
          <t>Presentation-oriented label or bilingual display value.</t>
        </is>
      </c>
    </row>
    <row r="124" ht="15" customHeight="1">
      <c r="A124" s="57" t="inlineStr">
        <is>
          <t>Column</t>
        </is>
      </c>
      <c r="B124" s="57" t="inlineStr">
        <is>
          <t>Loan Assessment</t>
        </is>
      </c>
      <c r="C124" s="59" t="inlineStr">
        <is>
          <t>Header - Recommendation</t>
        </is>
      </c>
      <c r="D124" s="57" t="inlineStr">
        <is>
          <t>No</t>
        </is>
      </c>
      <c r="E124" s="57" t="inlineStr">
        <is>
          <t>Yes</t>
        </is>
      </c>
      <c r="F124" s="59" t="inlineStr">
        <is>
          <t>Presentation-oriented label or bilingual display value.</t>
        </is>
      </c>
    </row>
    <row r="125" ht="15" customHeight="1">
      <c r="A125" s="57" t="inlineStr">
        <is>
          <t>Column</t>
        </is>
      </c>
      <c r="B125" s="57" t="inlineStr">
        <is>
          <t>Loan Assessment</t>
        </is>
      </c>
      <c r="C125" s="59" t="inlineStr">
        <is>
          <t>Header - Calculation</t>
        </is>
      </c>
      <c r="D125" s="57" t="inlineStr">
        <is>
          <t>No</t>
        </is>
      </c>
      <c r="E125" s="57" t="inlineStr">
        <is>
          <t>Yes</t>
        </is>
      </c>
      <c r="F125" s="59" t="inlineStr">
        <is>
          <t>Presentation-oriented label or bilingual display value.</t>
        </is>
      </c>
    </row>
    <row r="126" ht="15" customHeight="1">
      <c r="A126" s="57" t="inlineStr">
        <is>
          <t>Column</t>
        </is>
      </c>
      <c r="B126" s="57" t="inlineStr">
        <is>
          <t>Loans</t>
        </is>
      </c>
      <c r="C126" s="59" t="inlineStr">
        <is>
          <t>Daily Payment Amount</t>
        </is>
      </c>
      <c r="D126" s="57" t="inlineStr">
        <is>
          <t>Yes</t>
        </is>
      </c>
      <c r="E126" s="57" t="inlineStr">
        <is>
          <t>No</t>
        </is>
      </c>
      <c r="F126" s="59" t="inlineStr">
        <is>
          <t>Physical whole-baht daily-installment contract amount added to the shared source and loaded only in OLTP; OLAP schema/downstream review remains pending.</t>
        </is>
      </c>
    </row>
    <row r="127" ht="15" customHeight="1">
      <c r="A127" s="57" t="inlineStr">
        <is>
          <t>Column</t>
        </is>
      </c>
      <c r="B127" s="57" t="inlineStr">
        <is>
          <t>Loans</t>
        </is>
      </c>
      <c r="C127" s="59" t="inlineStr">
        <is>
          <t>Expected Daily Interest Amount</t>
        </is>
      </c>
      <c r="D127" s="57" t="inlineStr">
        <is>
          <t>Yes</t>
        </is>
      </c>
      <c r="E127" s="57" t="inlineStr">
        <is>
          <t>No</t>
        </is>
      </c>
      <c r="F127" s="59" t="inlineStr">
        <is>
          <t>Hidden lightweight OLTP forecast VC used by Statistics[Expected Daily Interest] and Borrowers[Active Daily Interest].</t>
        </is>
      </c>
    </row>
    <row r="128" ht="15" customHeight="1">
      <c r="A128" s="57" t="inlineStr">
        <is>
          <t>Column</t>
        </is>
      </c>
      <c r="B128" s="57" t="inlineStr">
        <is>
          <t>Loans</t>
        </is>
      </c>
      <c r="C128" s="59" t="inlineStr">
        <is>
          <t>Borrower Total Interest</t>
        </is>
      </c>
      <c r="D128" s="57" t="inlineStr">
        <is>
          <t>No</t>
        </is>
      </c>
      <c r="E128" s="57" t="inlineStr">
        <is>
          <t>Yes</t>
        </is>
      </c>
      <c r="F128" s="59" t="inlineStr">
        <is>
          <t>Derived financial aggregate or balance for operational or analytical use.</t>
        </is>
      </c>
    </row>
    <row r="129" ht="15" customHeight="1">
      <c r="A129" s="57" t="inlineStr">
        <is>
          <t>Column</t>
        </is>
      </c>
      <c r="B129" s="57" t="inlineStr">
        <is>
          <t>Loans</t>
        </is>
      </c>
      <c r="C129" s="59" t="inlineStr">
        <is>
          <t>Loan Start Day Index</t>
        </is>
      </c>
      <c r="D129" s="57" t="inlineStr">
        <is>
          <t>No</t>
        </is>
      </c>
      <c r="E129" s="57" t="inlineStr">
        <is>
          <t>Yes</t>
        </is>
      </c>
      <c r="F129" s="59" t="inlineStr">
        <is>
          <t>Derived AppSheet value used by the app workflow, presentation, or reporting model.</t>
        </is>
      </c>
    </row>
    <row r="130" ht="15" customHeight="1">
      <c r="A130" s="57" t="inlineStr">
        <is>
          <t>Column</t>
        </is>
      </c>
      <c r="B130" s="57" t="inlineStr">
        <is>
          <t>Loans</t>
        </is>
      </c>
      <c r="C130" s="59" t="inlineStr">
        <is>
          <t>Principal Start Weight</t>
        </is>
      </c>
      <c r="D130" s="57" t="inlineStr">
        <is>
          <t>No</t>
        </is>
      </c>
      <c r="E130" s="57" t="inlineStr">
        <is>
          <t>Yes</t>
        </is>
      </c>
      <c r="F130" s="59" t="inlineStr">
        <is>
          <t>Derived financial aggregate or balance for operational or analytical use.</t>
        </is>
      </c>
    </row>
    <row r="131" ht="15" customHeight="1">
      <c r="A131" s="57" t="inlineStr">
        <is>
          <t>Column</t>
        </is>
      </c>
      <c r="B131" s="57" t="inlineStr">
        <is>
          <t>Loans</t>
        </is>
      </c>
      <c r="C131" s="59" t="inlineStr">
        <is>
          <t>Loan End Date</t>
        </is>
      </c>
      <c r="D131" s="57" t="inlineStr">
        <is>
          <t>No</t>
        </is>
      </c>
      <c r="E131" s="57" t="inlineStr">
        <is>
          <t>Yes</t>
        </is>
      </c>
      <c r="F131" s="59" t="inlineStr">
        <is>
          <t>Derived date, time-window, age, or delinquency measure.</t>
        </is>
      </c>
    </row>
    <row r="132" ht="15" customHeight="1">
      <c r="A132" s="57" t="inlineStr">
        <is>
          <t>Column</t>
        </is>
      </c>
      <c r="B132" s="57" t="inlineStr">
        <is>
          <t>Loans</t>
        </is>
      </c>
      <c r="C132" s="59" t="inlineStr">
        <is>
          <t>30D Principal Days</t>
        </is>
      </c>
      <c r="D132" s="57" t="inlineStr">
        <is>
          <t>No</t>
        </is>
      </c>
      <c r="E132" s="57" t="inlineStr">
        <is>
          <t>Yes</t>
        </is>
      </c>
      <c r="F132" s="59" t="inlineStr">
        <is>
          <t>Derived date, time-window, age, or delinquency measure.</t>
        </is>
      </c>
    </row>
    <row r="133" ht="15" customHeight="1">
      <c r="A133" s="57" t="inlineStr">
        <is>
          <t>Column</t>
        </is>
      </c>
      <c r="B133" s="57" t="inlineStr">
        <is>
          <t>Loans</t>
        </is>
      </c>
      <c r="C133" s="59" t="inlineStr">
        <is>
          <t>Loan Age Days</t>
        </is>
      </c>
      <c r="D133" s="57" t="inlineStr">
        <is>
          <t>No</t>
        </is>
      </c>
      <c r="E133" s="57" t="inlineStr">
        <is>
          <t>Yes</t>
        </is>
      </c>
      <c r="F133" s="59" t="inlineStr">
        <is>
          <t>Derived date, time-window, age, or delinquency measure.</t>
        </is>
      </c>
    </row>
    <row r="134" ht="15" customHeight="1">
      <c r="A134" s="57" t="inlineStr">
        <is>
          <t>Column</t>
        </is>
      </c>
      <c r="B134" s="57" t="inlineStr">
        <is>
          <t>Loans</t>
        </is>
      </c>
      <c r="C134" s="59" t="inlineStr">
        <is>
          <t>Loan Age Bucket</t>
        </is>
      </c>
      <c r="D134" s="57" t="inlineStr">
        <is>
          <t>No</t>
        </is>
      </c>
      <c r="E134" s="57" t="inlineStr">
        <is>
          <t>Yes</t>
        </is>
      </c>
      <c r="F134" s="59" t="inlineStr">
        <is>
          <t>Derived grouping, ordering, or join value used by reporting or app presentation.</t>
        </is>
      </c>
    </row>
    <row r="135" ht="15" customHeight="1">
      <c r="A135" s="57" t="inlineStr">
        <is>
          <t>Column</t>
        </is>
      </c>
      <c r="B135" s="57" t="inlineStr">
        <is>
          <t>Loans</t>
        </is>
      </c>
      <c r="C135" s="59" t="inlineStr">
        <is>
          <t>Defaulted Flag</t>
        </is>
      </c>
      <c r="D135" s="57" t="inlineStr">
        <is>
          <t>No</t>
        </is>
      </c>
      <c r="E135" s="57" t="inlineStr">
        <is>
          <t>Yes</t>
        </is>
      </c>
      <c r="F135" s="59" t="inlineStr">
        <is>
          <t>Derived business-state or risk indicator.</t>
        </is>
      </c>
    </row>
    <row r="136" ht="15" customHeight="1">
      <c r="A136" s="57" t="inlineStr">
        <is>
          <t>Column</t>
        </is>
      </c>
      <c r="B136" s="57" t="inlineStr">
        <is>
          <t>Loans</t>
        </is>
      </c>
      <c r="C136" s="59" t="inlineStr">
        <is>
          <t>Maximum Days Late</t>
        </is>
      </c>
      <c r="D136" s="57" t="inlineStr">
        <is>
          <t>No</t>
        </is>
      </c>
      <c r="E136" s="57" t="inlineStr">
        <is>
          <t>Yes</t>
        </is>
      </c>
      <c r="F136" s="59" t="inlineStr">
        <is>
          <t>Derived business-state or risk indicator.</t>
        </is>
      </c>
    </row>
    <row r="137" ht="15" customHeight="1">
      <c r="A137" s="57" t="inlineStr">
        <is>
          <t>Column</t>
        </is>
      </c>
      <c r="B137" s="57" t="inlineStr">
        <is>
          <t>Partners</t>
        </is>
      </c>
      <c r="C137" s="59" t="inlineStr">
        <is>
          <t>Related Cash Pool Contributions</t>
        </is>
      </c>
      <c r="D137" s="57" t="inlineStr">
        <is>
          <t>No</t>
        </is>
      </c>
      <c r="E137" s="57" t="inlineStr">
        <is>
          <t>Yes</t>
        </is>
      </c>
      <c r="F137" s="59" t="inlineStr">
        <is>
          <t>Reverse-reference list of child rows that point to this record.</t>
        </is>
      </c>
    </row>
    <row r="138" ht="15" customHeight="1">
      <c r="A138" s="57" t="inlineStr">
        <is>
          <t>Column</t>
        </is>
      </c>
      <c r="B138" s="57" t="inlineStr">
        <is>
          <t>Partners</t>
        </is>
      </c>
      <c r="C138" s="59" t="inlineStr">
        <is>
          <t>Related Settlements</t>
        </is>
      </c>
      <c r="D138" s="57" t="inlineStr">
        <is>
          <t>No</t>
        </is>
      </c>
      <c r="E138" s="57" t="inlineStr">
        <is>
          <t>Yes</t>
        </is>
      </c>
      <c r="F138" s="59" t="inlineStr">
        <is>
          <t>Reverse-reference list of child rows that point to this record.</t>
        </is>
      </c>
    </row>
    <row r="139" ht="15" customHeight="1">
      <c r="A139" s="57" t="inlineStr">
        <is>
          <t>Column</t>
        </is>
      </c>
      <c r="B139" s="57" t="inlineStr">
        <is>
          <t>Partners</t>
        </is>
      </c>
      <c r="C139" s="59" t="inlineStr">
        <is>
          <t>Current Pool Contribution</t>
        </is>
      </c>
      <c r="D139" s="57" t="inlineStr">
        <is>
          <t>No</t>
        </is>
      </c>
      <c r="E139" s="57" t="inlineStr">
        <is>
          <t>Yes</t>
        </is>
      </c>
      <c r="F139" s="59" t="inlineStr">
        <is>
          <t>Derived financial aggregate or balance for operational or analytical use.</t>
        </is>
      </c>
    </row>
    <row r="140" ht="15" customHeight="1">
      <c r="A140" s="57" t="inlineStr">
        <is>
          <t>Column</t>
        </is>
      </c>
      <c r="B140" s="57" t="inlineStr">
        <is>
          <t>Partners</t>
        </is>
      </c>
      <c r="C140" s="59" t="inlineStr">
        <is>
          <t>Current Pool Share</t>
        </is>
      </c>
      <c r="D140" s="57" t="inlineStr">
        <is>
          <t>No</t>
        </is>
      </c>
      <c r="E140" s="57" t="inlineStr">
        <is>
          <t>Yes</t>
        </is>
      </c>
      <c r="F140" s="59" t="inlineStr">
        <is>
          <t>Derived ratio or performance measure calculated from governed source values.</t>
        </is>
      </c>
    </row>
    <row r="141" ht="15" customHeight="1">
      <c r="A141" s="57" t="inlineStr">
        <is>
          <t>Column</t>
        </is>
      </c>
      <c r="B141" s="57" t="inlineStr">
        <is>
          <t>Partners</t>
        </is>
      </c>
      <c r="C141" s="59" t="inlineStr">
        <is>
          <t>Total Profit Earned</t>
        </is>
      </c>
      <c r="D141" s="57" t="inlineStr">
        <is>
          <t>No</t>
        </is>
      </c>
      <c r="E141" s="57" t="inlineStr">
        <is>
          <t>Yes</t>
        </is>
      </c>
      <c r="F141" s="59" t="inlineStr">
        <is>
          <t>Derived financial aggregate or balance for operational or analytical use.</t>
        </is>
      </c>
    </row>
    <row r="142" ht="15" customHeight="1">
      <c r="A142" s="57" t="inlineStr">
        <is>
          <t>Column</t>
        </is>
      </c>
      <c r="B142" s="57" t="inlineStr">
        <is>
          <t>Partners</t>
        </is>
      </c>
      <c r="C142" s="59" t="inlineStr">
        <is>
          <t>Total Settlement Created</t>
        </is>
      </c>
      <c r="D142" s="57" t="inlineStr">
        <is>
          <t>No</t>
        </is>
      </c>
      <c r="E142" s="57" t="inlineStr">
        <is>
          <t>Yes</t>
        </is>
      </c>
      <c r="F142" s="59" t="inlineStr">
        <is>
          <t>Derived financial aggregate or balance for operational or analytical use.</t>
        </is>
      </c>
    </row>
    <row r="143" ht="15" customHeight="1">
      <c r="A143" s="57" t="inlineStr">
        <is>
          <t>Column</t>
        </is>
      </c>
      <c r="B143" s="57" t="inlineStr">
        <is>
          <t>Partners</t>
        </is>
      </c>
      <c r="C143" s="59" t="inlineStr">
        <is>
          <t>Completed Settlement</t>
        </is>
      </c>
      <c r="D143" s="57" t="inlineStr">
        <is>
          <t>No</t>
        </is>
      </c>
      <c r="E143" s="57" t="inlineStr">
        <is>
          <t>Yes</t>
        </is>
      </c>
      <c r="F143" s="59" t="inlineStr">
        <is>
          <t>Derived financial aggregate or balance for operational or analytical use.</t>
        </is>
      </c>
    </row>
    <row r="144" ht="15" customHeight="1">
      <c r="A144" s="57" t="inlineStr">
        <is>
          <t>Column</t>
        </is>
      </c>
      <c r="B144" s="57" t="inlineStr">
        <is>
          <t>Partners</t>
        </is>
      </c>
      <c r="C144" s="59" t="inlineStr">
        <is>
          <t>Pending Settlement</t>
        </is>
      </c>
      <c r="D144" s="57" t="inlineStr">
        <is>
          <t>No</t>
        </is>
      </c>
      <c r="E144" s="57" t="inlineStr">
        <is>
          <t>Yes</t>
        </is>
      </c>
      <c r="F144" s="59" t="inlineStr">
        <is>
          <t>Derived financial aggregate or balance for operational or analytical use.</t>
        </is>
      </c>
    </row>
    <row r="145" ht="15" customHeight="1">
      <c r="A145" s="57" t="inlineStr">
        <is>
          <t>Column</t>
        </is>
      </c>
      <c r="B145" s="57" t="inlineStr">
        <is>
          <t>Partners</t>
        </is>
      </c>
      <c r="C145" s="59" t="inlineStr">
        <is>
          <t>Available to Settle</t>
        </is>
      </c>
      <c r="D145" s="57" t="inlineStr">
        <is>
          <t>No</t>
        </is>
      </c>
      <c r="E145" s="57" t="inlineStr">
        <is>
          <t>Yes</t>
        </is>
      </c>
      <c r="F145" s="59" t="inlineStr">
        <is>
          <t>Derived AppSheet value used by the app workflow, presentation, or reporting model.</t>
        </is>
      </c>
    </row>
    <row r="146" ht="15" customHeight="1">
      <c r="A146" s="57" t="inlineStr">
        <is>
          <t>Column</t>
        </is>
      </c>
      <c r="B146" s="57" t="inlineStr">
        <is>
          <t>Partners</t>
        </is>
      </c>
      <c r="C146" s="59" t="inlineStr">
        <is>
          <t>Summary - Available Pending Settlement</t>
        </is>
      </c>
      <c r="D146" s="57" t="inlineStr">
        <is>
          <t>No</t>
        </is>
      </c>
      <c r="E146" s="57" t="inlineStr">
        <is>
          <t>Yes</t>
        </is>
      </c>
      <c r="F146" s="59" t="inlineStr">
        <is>
          <t>Presentation-oriented label or bilingual display value.</t>
        </is>
      </c>
    </row>
    <row r="147" ht="15" customHeight="1">
      <c r="A147" s="57" t="inlineStr">
        <is>
          <t>Column</t>
        </is>
      </c>
      <c r="B147" s="57" t="inlineStr">
        <is>
          <t>Partners</t>
        </is>
      </c>
      <c r="C147" s="59" t="inlineStr">
        <is>
          <t>Summary - Completed Settlement</t>
        </is>
      </c>
      <c r="D147" s="57" t="inlineStr">
        <is>
          <t>No</t>
        </is>
      </c>
      <c r="E147" s="57" t="inlineStr">
        <is>
          <t>Yes</t>
        </is>
      </c>
      <c r="F147" s="59" t="inlineStr">
        <is>
          <t>Presentation-oriented label or bilingual display value.</t>
        </is>
      </c>
    </row>
    <row r="148" ht="15" customHeight="1">
      <c r="A148" s="57" t="inlineStr">
        <is>
          <t>Column</t>
        </is>
      </c>
      <c r="B148" s="57" t="inlineStr">
        <is>
          <t>Partners</t>
        </is>
      </c>
      <c r="C148" s="59" t="inlineStr">
        <is>
          <t>Summary - Total Profit Earned</t>
        </is>
      </c>
      <c r="D148" s="57" t="inlineStr">
        <is>
          <t>No</t>
        </is>
      </c>
      <c r="E148" s="57" t="inlineStr">
        <is>
          <t>Yes</t>
        </is>
      </c>
      <c r="F148" s="59" t="inlineStr">
        <is>
          <t>Presentation-oriented label or bilingual display value.</t>
        </is>
      </c>
    </row>
    <row r="149" ht="15" customHeight="1">
      <c r="A149" s="57" t="inlineStr">
        <is>
          <t>Column</t>
        </is>
      </c>
      <c r="B149" s="57" t="inlineStr">
        <is>
          <t>Repayments</t>
        </is>
      </c>
      <c r="C149" s="59" t="inlineStr">
        <is>
          <t>Pool Total at Payment Date</t>
        </is>
      </c>
      <c r="D149" s="57" t="inlineStr">
        <is>
          <t>No</t>
        </is>
      </c>
      <c r="E149" s="57" t="inlineStr">
        <is>
          <t>Yes</t>
        </is>
      </c>
      <c r="F149" s="59" t="inlineStr">
        <is>
          <t>Derived date, time-window, age, or delinquency measure.</t>
        </is>
      </c>
    </row>
    <row r="150" ht="15" customHeight="1">
      <c r="A150" s="57" t="inlineStr">
        <is>
          <t>Column</t>
        </is>
      </c>
      <c r="B150" s="57" t="inlineStr">
        <is>
          <t>Repayments</t>
        </is>
      </c>
      <c r="C150" s="59" t="inlineStr">
        <is>
          <t>Partner A Contribution at Payment Date</t>
        </is>
      </c>
      <c r="D150" s="57" t="inlineStr">
        <is>
          <t>No</t>
        </is>
      </c>
      <c r="E150" s="57" t="inlineStr">
        <is>
          <t>Yes</t>
        </is>
      </c>
      <c r="F150" s="59" t="inlineStr">
        <is>
          <t>Derived date, time-window, age, or delinquency measure.</t>
        </is>
      </c>
    </row>
    <row r="151" ht="15" customHeight="1">
      <c r="A151" s="57" t="inlineStr">
        <is>
          <t>Column</t>
        </is>
      </c>
      <c r="B151" s="57" t="inlineStr">
        <is>
          <t>Repayments</t>
        </is>
      </c>
      <c r="C151" s="59" t="inlineStr">
        <is>
          <t>Partner B Contribution at Payment Date</t>
        </is>
      </c>
      <c r="D151" s="57" t="inlineStr">
        <is>
          <t>No</t>
        </is>
      </c>
      <c r="E151" s="57" t="inlineStr">
        <is>
          <t>Yes</t>
        </is>
      </c>
      <c r="F151" s="59" t="inlineStr">
        <is>
          <t>Derived date, time-window, age, or delinquency measure.</t>
        </is>
      </c>
    </row>
    <row r="152" ht="15" customHeight="1">
      <c r="A152" s="57" t="inlineStr">
        <is>
          <t>Column</t>
        </is>
      </c>
      <c r="B152" s="57" t="inlineStr">
        <is>
          <t>Repayments</t>
        </is>
      </c>
      <c r="C152" s="59" t="inlineStr">
        <is>
          <t>Partner A Profit Share</t>
        </is>
      </c>
      <c r="D152" s="57" t="inlineStr">
        <is>
          <t>No</t>
        </is>
      </c>
      <c r="E152" s="57" t="inlineStr">
        <is>
          <t>Yes</t>
        </is>
      </c>
      <c r="F152" s="59" t="inlineStr">
        <is>
          <t>Derived ratio or performance measure calculated from governed source values.</t>
        </is>
      </c>
    </row>
    <row r="153" ht="15" customHeight="1">
      <c r="A153" s="57" t="inlineStr">
        <is>
          <t>Column</t>
        </is>
      </c>
      <c r="B153" s="57" t="inlineStr">
        <is>
          <t>Repayments</t>
        </is>
      </c>
      <c r="C153" s="59" t="inlineStr">
        <is>
          <t>Partner B Profit Share</t>
        </is>
      </c>
      <c r="D153" s="57" t="inlineStr">
        <is>
          <t>No</t>
        </is>
      </c>
      <c r="E153" s="57" t="inlineStr">
        <is>
          <t>Yes</t>
        </is>
      </c>
      <c r="F153" s="59" t="inlineStr">
        <is>
          <t>Derived ratio or performance measure calculated from governed source values.</t>
        </is>
      </c>
    </row>
    <row r="154" ht="15" customHeight="1">
      <c r="A154" s="57" t="inlineStr">
        <is>
          <t>Column</t>
        </is>
      </c>
      <c r="B154" s="57" t="inlineStr">
        <is>
          <t>Repayments</t>
        </is>
      </c>
      <c r="C154" s="59" t="inlineStr">
        <is>
          <t>Partner A Profit</t>
        </is>
      </c>
      <c r="D154" s="57" t="inlineStr">
        <is>
          <t>No</t>
        </is>
      </c>
      <c r="E154" s="57" t="inlineStr">
        <is>
          <t>Yes</t>
        </is>
      </c>
      <c r="F154" s="59" t="inlineStr">
        <is>
          <t>Derived financial aggregate or balance for operational or analytical use.</t>
        </is>
      </c>
    </row>
    <row r="155" ht="15" customHeight="1">
      <c r="A155" s="57" t="inlineStr">
        <is>
          <t>Column</t>
        </is>
      </c>
      <c r="B155" s="57" t="inlineStr">
        <is>
          <t>Repayments</t>
        </is>
      </c>
      <c r="C155" s="59" t="inlineStr">
        <is>
          <t>Partner B Profit</t>
        </is>
      </c>
      <c r="D155" s="57" t="inlineStr">
        <is>
          <t>No</t>
        </is>
      </c>
      <c r="E155" s="57" t="inlineStr">
        <is>
          <t>Yes</t>
        </is>
      </c>
      <c r="F155" s="59" t="inlineStr">
        <is>
          <t>Derived financial aggregate or balance for operational or analytical use.</t>
        </is>
      </c>
    </row>
    <row r="156" ht="15" customHeight="1">
      <c r="A156" s="57" t="inlineStr">
        <is>
          <t>Column</t>
        </is>
      </c>
      <c r="B156" s="57" t="inlineStr">
        <is>
          <t>Repayments</t>
        </is>
      </c>
      <c r="C156" s="59" t="inlineStr">
        <is>
          <t>Header - Profit</t>
        </is>
      </c>
      <c r="D156" s="57" t="inlineStr">
        <is>
          <t>No</t>
        </is>
      </c>
      <c r="E156" s="57" t="inlineStr">
        <is>
          <t>Yes</t>
        </is>
      </c>
      <c r="F156" s="59" t="inlineStr">
        <is>
          <t>Presentation-oriented label or bilingual display value.</t>
        </is>
      </c>
    </row>
    <row r="157" ht="15" customHeight="1">
      <c r="A157" s="57" t="inlineStr">
        <is>
          <t>Column</t>
        </is>
      </c>
      <c r="B157" s="57" t="inlineStr">
        <is>
          <t>Repayments</t>
        </is>
      </c>
      <c r="C157" s="59" t="inlineStr">
        <is>
          <t>30D Principal Reduction Days</t>
        </is>
      </c>
      <c r="D157" s="57" t="inlineStr">
        <is>
          <t>No</t>
        </is>
      </c>
      <c r="E157" s="57" t="inlineStr">
        <is>
          <t>Yes</t>
        </is>
      </c>
      <c r="F157" s="59" t="inlineStr">
        <is>
          <t>Derived date, time-window, age, or delinquency measure.</t>
        </is>
      </c>
    </row>
    <row r="158" ht="15" customHeight="1">
      <c r="A158" s="57" t="inlineStr">
        <is>
          <t>Column</t>
        </is>
      </c>
      <c r="B158" s="57" t="inlineStr">
        <is>
          <t>Settlements</t>
        </is>
      </c>
      <c r="C158" s="59" t="inlineStr">
        <is>
          <t>_RowNumber</t>
        </is>
      </c>
      <c r="D158" s="57" t="inlineStr">
        <is>
          <t>No</t>
        </is>
      </c>
      <c r="E158" s="57" t="inlineStr">
        <is>
          <t>Yes</t>
        </is>
      </c>
      <c r="F158" s="59" t="inlineStr">
        <is>
          <t>System-generated source-row ordinal; not a stable business key.</t>
        </is>
      </c>
    </row>
    <row r="159" ht="15" customHeight="1">
      <c r="A159" s="57" t="inlineStr">
        <is>
          <t>Column</t>
        </is>
      </c>
      <c r="B159" s="57" t="inlineStr">
        <is>
          <t>Settlements</t>
        </is>
      </c>
      <c r="C159" s="59" t="inlineStr">
        <is>
          <t>Row ID</t>
        </is>
      </c>
      <c r="D159" s="57" t="inlineStr">
        <is>
          <t>No</t>
        </is>
      </c>
      <c r="E159" s="57" t="inlineStr">
        <is>
          <t>Yes</t>
        </is>
      </c>
      <c r="F159" s="59" t="inlineStr">
        <is>
          <t>Immutable row key generated by the source database.</t>
        </is>
      </c>
    </row>
    <row r="160" ht="15" customHeight="1">
      <c r="A160" s="57" t="inlineStr">
        <is>
          <t>Column</t>
        </is>
      </c>
      <c r="B160" s="57" t="inlineStr">
        <is>
          <t>Settlements</t>
        </is>
      </c>
      <c r="C160" s="59" t="inlineStr">
        <is>
          <t>Settlement Date</t>
        </is>
      </c>
      <c r="D160" s="57" t="inlineStr">
        <is>
          <t>No</t>
        </is>
      </c>
      <c r="E160" s="57" t="inlineStr">
        <is>
          <t>Yes</t>
        </is>
      </c>
      <c r="F160" s="59" t="inlineStr">
        <is>
          <t>Stores the source date for Settlement Date.</t>
        </is>
      </c>
    </row>
    <row r="161" ht="15" customHeight="1">
      <c r="A161" s="57" t="inlineStr">
        <is>
          <t>Column</t>
        </is>
      </c>
      <c r="B161" s="57" t="inlineStr">
        <is>
          <t>Settlements</t>
        </is>
      </c>
      <c r="C161" s="59" t="inlineStr">
        <is>
          <t>Ref Partner</t>
        </is>
      </c>
      <c r="D161" s="57" t="inlineStr">
        <is>
          <t>No</t>
        </is>
      </c>
      <c r="E161" s="57" t="inlineStr">
        <is>
          <t>Yes</t>
        </is>
      </c>
      <c r="F161" s="59" t="inlineStr">
        <is>
          <t>Reference key that links this row to the configured parent table.</t>
        </is>
      </c>
    </row>
    <row r="162" ht="15" customHeight="1">
      <c r="A162" s="57" t="inlineStr">
        <is>
          <t>Column</t>
        </is>
      </c>
      <c r="B162" s="57" t="inlineStr">
        <is>
          <t>Settlements</t>
        </is>
      </c>
      <c r="C162" s="59" t="inlineStr">
        <is>
          <t>Amount</t>
        </is>
      </c>
      <c r="D162" s="57" t="inlineStr">
        <is>
          <t>No</t>
        </is>
      </c>
      <c r="E162" s="57" t="inlineStr">
        <is>
          <t>Yes</t>
        </is>
      </c>
      <c r="F162" s="59" t="inlineStr">
        <is>
          <t>Stores the financially material source value for Amount.</t>
        </is>
      </c>
    </row>
    <row r="163" ht="15" customHeight="1">
      <c r="A163" s="57" t="inlineStr">
        <is>
          <t>Column</t>
        </is>
      </c>
      <c r="B163" s="57" t="inlineStr">
        <is>
          <t>Settlements</t>
        </is>
      </c>
      <c r="C163" s="59" t="inlineStr">
        <is>
          <t>Status</t>
        </is>
      </c>
      <c r="D163" s="57" t="inlineStr">
        <is>
          <t>No</t>
        </is>
      </c>
      <c r="E163" s="57" t="inlineStr">
        <is>
          <t>Yes</t>
        </is>
      </c>
      <c r="F163" s="59" t="inlineStr">
        <is>
          <t>Stores the controlled workflow state for Status.</t>
        </is>
      </c>
    </row>
    <row r="164" ht="15" customHeight="1">
      <c r="A164" s="57" t="inlineStr">
        <is>
          <t>Column</t>
        </is>
      </c>
      <c r="B164" s="57" t="inlineStr">
        <is>
          <t>Settlements</t>
        </is>
      </c>
      <c r="C164" s="59" t="inlineStr">
        <is>
          <t>Transfer Date</t>
        </is>
      </c>
      <c r="D164" s="57" t="inlineStr">
        <is>
          <t>No</t>
        </is>
      </c>
      <c r="E164" s="57" t="inlineStr">
        <is>
          <t>Yes</t>
        </is>
      </c>
      <c r="F164" s="59" t="inlineStr">
        <is>
          <t>Stores the source date for Transfer Date.</t>
        </is>
      </c>
    </row>
    <row r="165" ht="15" customHeight="1">
      <c r="A165" s="57" t="inlineStr">
        <is>
          <t>Column</t>
        </is>
      </c>
      <c r="B165" s="57" t="inlineStr">
        <is>
          <t>Settlements</t>
        </is>
      </c>
      <c r="C165" s="59" t="inlineStr">
        <is>
          <t>Notes</t>
        </is>
      </c>
      <c r="D165" s="57" t="inlineStr">
        <is>
          <t>No</t>
        </is>
      </c>
      <c r="E165" s="57" t="inlineStr">
        <is>
          <t>Yes</t>
        </is>
      </c>
      <c r="F165" s="59" t="inlineStr">
        <is>
          <t>Stores the authoritative source value for Notes.</t>
        </is>
      </c>
    </row>
    <row r="166" ht="15" customHeight="1">
      <c r="A166" s="57" t="inlineStr">
        <is>
          <t>Column</t>
        </is>
      </c>
      <c r="B166" s="57" t="inlineStr">
        <is>
          <t>Statistics</t>
        </is>
      </c>
      <c r="C166" s="59" t="inlineStr">
        <is>
          <t>Active Loans</t>
        </is>
      </c>
      <c r="D166" s="57" t="inlineStr">
        <is>
          <t>No</t>
        </is>
      </c>
      <c r="E166" s="57" t="inlineStr">
        <is>
          <t>Yes</t>
        </is>
      </c>
      <c r="F166" s="59" t="inlineStr">
        <is>
          <t>Derived count used for workload, portfolio, or risk analysis.</t>
        </is>
      </c>
    </row>
    <row r="167" ht="15" customHeight="1">
      <c r="A167" s="57" t="inlineStr">
        <is>
          <t>Column</t>
        </is>
      </c>
      <c r="B167" s="57" t="inlineStr">
        <is>
          <t>Statistics</t>
        </is>
      </c>
      <c r="C167" s="59" t="inlineStr">
        <is>
          <t>Peak Cash Pool 30D</t>
        </is>
      </c>
      <c r="D167" s="57" t="inlineStr">
        <is>
          <t>No</t>
        </is>
      </c>
      <c r="E167" s="57" t="inlineStr">
        <is>
          <t>Yes</t>
        </is>
      </c>
      <c r="F167" s="59" t="inlineStr">
        <is>
          <t>Derived financial aggregate or balance for operational or analytical use.</t>
        </is>
      </c>
    </row>
    <row r="168" ht="15" customHeight="1">
      <c r="A168" s="57" t="inlineStr">
        <is>
          <t>Column</t>
        </is>
      </c>
      <c r="B168" s="57" t="inlineStr">
        <is>
          <t>Statistics</t>
        </is>
      </c>
      <c r="C168" s="59" t="inlineStr">
        <is>
          <t>Peak Cash Pool Date 30D</t>
        </is>
      </c>
      <c r="D168" s="57" t="inlineStr">
        <is>
          <t>No</t>
        </is>
      </c>
      <c r="E168" s="57" t="inlineStr">
        <is>
          <t>Yes</t>
        </is>
      </c>
      <c r="F168" s="59" t="inlineStr">
        <is>
          <t>Derived date, time-window, age, or delinquency measure.</t>
        </is>
      </c>
    </row>
    <row r="169" ht="15" customHeight="1">
      <c r="A169" s="57" t="inlineStr">
        <is>
          <t>Column</t>
        </is>
      </c>
      <c r="B169" s="57" t="inlineStr">
        <is>
          <t>Statistics</t>
        </is>
      </c>
      <c r="C169" s="59" t="inlineStr">
        <is>
          <t>Total Cash Pool</t>
        </is>
      </c>
      <c r="D169" s="57" t="inlineStr">
        <is>
          <t>No</t>
        </is>
      </c>
      <c r="E169" s="57" t="inlineStr">
        <is>
          <t>Yes</t>
        </is>
      </c>
      <c r="F169" s="59" t="inlineStr">
        <is>
          <t>Derived financial aggregate or balance for operational or analytical use.</t>
        </is>
      </c>
    </row>
    <row r="170" ht="15" customHeight="1">
      <c r="A170" s="57" t="inlineStr">
        <is>
          <t>Column</t>
        </is>
      </c>
      <c r="B170" s="57" t="inlineStr">
        <is>
          <t>Statistics</t>
        </is>
      </c>
      <c r="C170" s="59" t="inlineStr">
        <is>
          <t>Total Unsettled Profit</t>
        </is>
      </c>
      <c r="D170" s="57" t="inlineStr">
        <is>
          <t>No</t>
        </is>
      </c>
      <c r="E170" s="57" t="inlineStr">
        <is>
          <t>Yes</t>
        </is>
      </c>
      <c r="F170" s="59" t="inlineStr">
        <is>
          <t>Derived financial aggregate or balance for operational or analytical use.</t>
        </is>
      </c>
    </row>
    <row r="171" ht="15" customHeight="1">
      <c r="A171" s="57" t="inlineStr">
        <is>
          <t>Column</t>
        </is>
      </c>
      <c r="B171" s="57" t="inlineStr">
        <is>
          <t>Statistics</t>
        </is>
      </c>
      <c r="C171" s="59" t="inlineStr">
        <is>
          <t>Expected Loan Account Balance</t>
        </is>
      </c>
      <c r="D171" s="57" t="inlineStr">
        <is>
          <t>No</t>
        </is>
      </c>
      <c r="E171" s="57" t="inlineStr">
        <is>
          <t>Yes</t>
        </is>
      </c>
      <c r="F171" s="59" t="inlineStr">
        <is>
          <t>Derived count used for workload, portfolio, or risk analysis.</t>
        </is>
      </c>
    </row>
    <row r="172" ht="15" customHeight="1">
      <c r="A172" s="57" t="inlineStr">
        <is>
          <t>Column</t>
        </is>
      </c>
      <c r="B172" s="57" t="inlineStr">
        <is>
          <t>Statistics</t>
        </is>
      </c>
      <c r="C172" s="59" t="inlineStr">
        <is>
          <t>Header - Cash Pool</t>
        </is>
      </c>
      <c r="D172" s="57" t="inlineStr">
        <is>
          <t>No</t>
        </is>
      </c>
      <c r="E172" s="57" t="inlineStr">
        <is>
          <t>Yes</t>
        </is>
      </c>
      <c r="F172" s="59" t="inlineStr">
        <is>
          <t>Presentation-oriented label or bilingual display value.</t>
        </is>
      </c>
    </row>
    <row r="173" ht="15" customHeight="1">
      <c r="A173" s="57" t="inlineStr">
        <is>
          <t>Column</t>
        </is>
      </c>
      <c r="B173" s="57" t="inlineStr">
        <is>
          <t>Statistics</t>
        </is>
      </c>
      <c r="C173" s="59" t="inlineStr">
        <is>
          <t>Total Outstanding Principal</t>
        </is>
      </c>
      <c r="D173" s="57" t="inlineStr">
        <is>
          <t>No</t>
        </is>
      </c>
      <c r="E173" s="57" t="inlineStr">
        <is>
          <t>Yes</t>
        </is>
      </c>
      <c r="F173" s="59" t="inlineStr">
        <is>
          <t>Derived financial aggregate or balance for operational or analytical use.</t>
        </is>
      </c>
    </row>
    <row r="174" ht="15" customHeight="1">
      <c r="A174" s="57" t="inlineStr">
        <is>
          <t>Column</t>
        </is>
      </c>
      <c r="B174" s="57" t="inlineStr">
        <is>
          <t>Statistics</t>
        </is>
      </c>
      <c r="C174" s="59" t="inlineStr">
        <is>
          <t>Top 3 Borrower Concentration</t>
        </is>
      </c>
      <c r="D174" s="57" t="inlineStr">
        <is>
          <t>No</t>
        </is>
      </c>
      <c r="E174" s="57" t="inlineStr">
        <is>
          <t>Yes</t>
        </is>
      </c>
      <c r="F174" s="59" t="inlineStr">
        <is>
          <t>Derived AppSheet value used by the app workflow, presentation, or reporting model.</t>
        </is>
      </c>
    </row>
    <row r="175" ht="15" customHeight="1">
      <c r="A175" s="57" t="inlineStr">
        <is>
          <t>Column</t>
        </is>
      </c>
      <c r="B175" s="57" t="inlineStr">
        <is>
          <t>Statistics</t>
        </is>
      </c>
      <c r="C175" s="59" t="inlineStr">
        <is>
          <t>Amount Due Today</t>
        </is>
      </c>
      <c r="D175" s="57" t="inlineStr">
        <is>
          <t>No</t>
        </is>
      </c>
      <c r="E175" s="57" t="inlineStr">
        <is>
          <t>Yes</t>
        </is>
      </c>
      <c r="F175" s="59" t="inlineStr">
        <is>
          <t>Derived financial aggregate or balance for operational or analytical use.</t>
        </is>
      </c>
    </row>
    <row r="176" ht="15" customHeight="1">
      <c r="A176" s="57" t="inlineStr">
        <is>
          <t>Column</t>
        </is>
      </c>
      <c r="B176" s="57" t="inlineStr">
        <is>
          <t>Statistics</t>
        </is>
      </c>
      <c r="C176" s="59" t="inlineStr">
        <is>
          <t>Amount Collected Today</t>
        </is>
      </c>
      <c r="D176" s="57" t="inlineStr">
        <is>
          <t>No</t>
        </is>
      </c>
      <c r="E176" s="57" t="inlineStr">
        <is>
          <t>Yes</t>
        </is>
      </c>
      <c r="F176" s="59" t="inlineStr">
        <is>
          <t>Derived financial aggregate or balance for operational or analytical use.</t>
        </is>
      </c>
    </row>
    <row r="177" ht="15" customHeight="1">
      <c r="A177" s="57" t="inlineStr">
        <is>
          <t>Column</t>
        </is>
      </c>
      <c r="B177" s="57" t="inlineStr">
        <is>
          <t>Statistics</t>
        </is>
      </c>
      <c r="C177" s="59" t="inlineStr">
        <is>
          <t>Amount Outstanding Today</t>
        </is>
      </c>
      <c r="D177" s="57" t="inlineStr">
        <is>
          <t>No</t>
        </is>
      </c>
      <c r="E177" s="57" t="inlineStr">
        <is>
          <t>Yes</t>
        </is>
      </c>
      <c r="F177" s="59" t="inlineStr">
        <is>
          <t>Derived financial aggregate or balance for operational or analytical use.</t>
        </is>
      </c>
    </row>
    <row r="178" ht="15" customHeight="1">
      <c r="A178" s="57" t="inlineStr">
        <is>
          <t>Column</t>
        </is>
      </c>
      <c r="B178" s="57" t="inlineStr">
        <is>
          <t>Statistics</t>
        </is>
      </c>
      <c r="C178" s="59" t="inlineStr">
        <is>
          <t>Amount Collection Rate Today</t>
        </is>
      </c>
      <c r="D178" s="57" t="inlineStr">
        <is>
          <t>No</t>
        </is>
      </c>
      <c r="E178" s="57" t="inlineStr">
        <is>
          <t>Yes</t>
        </is>
      </c>
      <c r="F178" s="59" t="inlineStr">
        <is>
          <t>Derived ratio or performance measure calculated from governed source values.</t>
        </is>
      </c>
    </row>
    <row r="179">
      <c r="A179" s="57" t="n"/>
      <c r="B179" s="57" t="n"/>
      <c r="C179" s="59" t="n"/>
      <c r="D179" s="57" t="n"/>
      <c r="E179" s="57" t="n"/>
      <c r="F179" s="59" t="n"/>
    </row>
    <row r="180">
      <c r="A180" s="57" t="n"/>
      <c r="B180" s="57" t="n"/>
      <c r="C180" s="59" t="n"/>
      <c r="D180" s="57" t="n"/>
      <c r="E180" s="57" t="n"/>
      <c r="F180" s="59" t="n"/>
    </row>
    <row r="181">
      <c r="A181" s="57" t="n"/>
      <c r="B181" s="57" t="n"/>
      <c r="C181" s="59" t="n"/>
      <c r="D181" s="57" t="n"/>
      <c r="E181" s="57" t="n"/>
      <c r="F181" s="59" t="n"/>
    </row>
  </sheetData>
  <mergeCells count="2">
    <mergeCell ref="A2:F2"/>
    <mergeCell ref="A1:F1"/>
  </mergeCells>
  <conditionalFormatting sqref="D5:E178">
    <cfRule type="containsText" priority="1" operator="containsText" dxfId="2" text="No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8" customWidth="1" min="4" max="4"/>
    <col width="18" customWidth="1" min="5" max="5"/>
    <col width="72" customWidth="1" min="6" max="6"/>
    <col width="36" customWidth="1" min="7" max="7"/>
    <col width="24" customWidth="1" min="8" max="8"/>
    <col width="18" customWidth="1" min="9" max="9"/>
  </cols>
  <sheetData>
    <row r="1" ht="30" customHeight="1">
      <c r="A1" s="3" t="inlineStr">
        <is>
          <t>Change Log</t>
        </is>
      </c>
    </row>
    <row r="2" ht="30" customHeight="1">
      <c r="A2" s="7" t="inlineStr">
        <is>
          <t>Reserved historical worksheet. Authoritative change history is maintained as Markdown in Change Logs/.</t>
        </is>
      </c>
    </row>
    <row r="4" ht="30" customHeight="1">
      <c r="A4" s="50" t="inlineStr">
        <is>
          <t>Date</t>
        </is>
      </c>
      <c r="B4" s="51" t="inlineStr">
        <is>
          <t>Artifact</t>
        </is>
      </c>
      <c r="C4" s="51" t="inlineStr">
        <is>
          <t>Object Type</t>
        </is>
      </c>
      <c r="D4" s="51" t="inlineStr">
        <is>
          <t>Object Name</t>
        </is>
      </c>
      <c r="E4" s="51" t="inlineStr">
        <is>
          <t>Change Type</t>
        </is>
      </c>
      <c r="F4" s="51" t="inlineStr">
        <is>
          <t>Summary</t>
        </is>
      </c>
      <c r="G4" s="51" t="inlineStr">
        <is>
          <t>Source Baseline</t>
        </is>
      </c>
      <c r="H4" s="51" t="inlineStr">
        <is>
          <t>Reconciled with AppSheet?</t>
        </is>
      </c>
      <c r="I4" s="52" t="inlineStr">
        <is>
          <t>Updated By</t>
        </is>
      </c>
    </row>
    <row r="5" ht="21.60000038146973" customHeight="1">
      <c r="A5" s="70" t="n">
        <v>46264</v>
      </c>
      <c r="B5" s="58" t="inlineStr">
        <is>
          <t>Word + Excel reference pair</t>
        </is>
      </c>
      <c r="C5" s="56" t="inlineStr">
        <is>
          <t>Reference structure</t>
        </is>
      </c>
      <c r="D5" s="58" t="inlineStr">
        <is>
          <t>Initial split</t>
        </is>
      </c>
      <c r="E5" s="56" t="inlineStr">
        <is>
          <t>Conversion</t>
        </is>
      </c>
      <c r="F5" s="58" t="inlineStr">
        <is>
          <t>Split the existing Word baseline into a descriptive Word overview and a filterable Excel technical dictionary. No live AppSheet comparison was performed.</t>
        </is>
      </c>
      <c r="G5" s="58" t="inlineStr">
        <is>
          <t>AppSheet_Data_Model_Reference.docx (2026-08-29)</t>
        </is>
      </c>
      <c r="H5" s="56" t="inlineStr">
        <is>
          <t>Pending</t>
        </is>
      </c>
      <c r="I5" s="56" t="inlineStr">
        <is>
          <t>Codex</t>
        </is>
      </c>
    </row>
  </sheetData>
  <mergeCells count="2">
    <mergeCell ref="A1:I1"/>
    <mergeCell ref="A2:I2"/>
  </mergeCells>
  <conditionalFormatting sqref="H5:H100">
    <cfRule type="containsText" priority="1" operator="containsText" dxfId="3" text="Pending"/>
  </conditionalFormatting>
  <dataValidations count="1">
    <dataValidation sqref="H5:H100" showDropDown="0" showInputMessage="0" showErrorMessage="0" allowBlank="0" type="list">
      <formula1>"Pending,Yes,No,Partial"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2026-09-01T01:43:20Z</dcterms:created>
  <dcterms:modified xmlns:dcterms="http://purl.org/dc/terms/" xmlns:xsi="http://www.w3.org/2001/XMLSchema-instance" xsi:type="dcterms:W3CDTF">2026-09-01T02:59:02Z</dcterms:modified>
</cp:coreProperties>
</file>