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56894d966a44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7e4071c54924f8d"/>
    <x:sheet xmlns:r="http://schemas.openxmlformats.org/officeDocument/2006/relationships" name="Tables" sheetId="2" r:id="R54a12f18dd0b47d3"/>
    <x:sheet xmlns:r="http://schemas.openxmlformats.org/officeDocument/2006/relationships" name="Columns" sheetId="3" r:id="R03b142c15e784e09"/>
    <x:sheet xmlns:r="http://schemas.openxmlformats.org/officeDocument/2006/relationships" name="Relationships" sheetId="4" r:id="R7f4ad6c6c1154e3a"/>
    <x:sheet xmlns:r="http://schemas.openxmlformats.org/officeDocument/2006/relationships" name="Slices" sheetId="5" r:id="Ra5462920a0a54b0a"/>
    <x:sheet xmlns:r="http://schemas.openxmlformats.org/officeDocument/2006/relationships" name="Slice Columns" sheetId="6" r:id="R33621fbffa454a76"/>
    <x:sheet xmlns:r="http://schemas.openxmlformats.org/officeDocument/2006/relationships" name="App Variances" sheetId="7" r:id="Re2d1bf198f744603"/>
    <x:sheet xmlns:r="http://schemas.openxmlformats.org/officeDocument/2006/relationships" name="Change Log" sheetId="8" r:id="R0f7a593810304e39"/>
    <x:sheet xmlns:r="http://schemas.openxmlformats.org/officeDocument/2006/relationships" name="Payments Clone" sheetId="9" r:id="R534c6461f0194093"/>
    <x:sheet xmlns:r="http://schemas.openxmlformats.org/officeDocument/2006/relationships" name="Payments Clone Slices" sheetId="10" r:id="Rc7481425cd5f4a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67085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172B3A"/>
      <x:name val="Carlito"/>
    </x:font>
    <x:font>
      <x:sz val="9"/>
      <x:color rgb="FF172B3A"/>
      <x:name val="Carlito"/>
    </x:font>
    <x:font>
      <x:sz val="11"/>
      <x:name val="Calibri"/>
    </x:font>
    <x:font>
      <x:b/>
      <x:sz val="11"/>
      <x:name val="Calibri"/>
    </x:font>
    <x:font>
      <x:b/>
      <x:sz val="16"/>
      <x:color rgb="FFFFFFFF"/>
      <x:name val="Calibri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</x:fills>
  <x:borders count="16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C9A227"/>
      </x:left>
      <x:top style="thin">
        <x:color rgb="FFC9A227"/>
      </x:top>
    </x:border>
    <x:border>
      <x:top style="thin">
        <x:color rgb="FFC9A227"/>
      </x:top>
    </x:border>
    <x:border>
      <x:right style="thin">
        <x:color rgb="FFC9A227"/>
      </x:right>
      <x:top style="thin">
        <x:color rgb="FFC9A227"/>
      </x:top>
    </x:border>
    <x:border>
      <x:left style="thin">
        <x:color rgb="FFC9A227"/>
      </x:left>
    </x:border>
    <x:border>
      <x:right style="thin">
        <x:color rgb="FFC9A227"/>
      </x:right>
    </x:border>
    <x:border>
      <x:left style="thin">
        <x:color rgb="FFC9A227"/>
      </x:left>
      <x:bottom style="thin">
        <x:color rgb="FFC9A227"/>
      </x:bottom>
    </x:border>
    <x:border>
      <x:bottom style="thin">
        <x:color rgb="FFC9A227"/>
      </x:bottom>
    </x:border>
    <x:border>
      <x:right style="thin">
        <x:color rgb="FFC9A227"/>
      </x:right>
      <x:bottom style="thin">
        <x:color rgb="FFC9A227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C9D3DD"/>
      </x:bottom>
    </x:border>
    <x:border>
      <x:top style="thin">
        <x:color rgb="FFC9D3DD"/>
      </x:top>
      <x:bottom style="thin">
        <x:color rgb="FFC9D3DD"/>
      </x:bottom>
    </x:border>
    <x:border>
      <x:left style="thin">
        <x:color rgb="FFC9A227"/>
      </x:left>
      <x:right style="thin">
        <x:color rgb="FFC9A227"/>
      </x:right>
      <x:top style="thin">
        <x:color rgb="FFC9A227"/>
      </x:top>
      <x:bottom style="thin">
        <x:color rgb="FFC9A227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2" fillId="3" borderId="0" xfId="0" applyAlignment="1">
      <x:alignment vertical="center" wrapText="1"/>
    </x:xf>
    <x:xf numFmtId="0" fontId="0" fillId="4" borderId="0" xfId="0"/>
    <x:xf numFmtId="0" fontId="3" fillId="4" borderId="0" xfId="0"/>
    <x:xf numFmtId="0" fontId="4" fillId="3" borderId="0" xfId="0"/>
    <x:xf numFmtId="0" fontId="3" fillId="4" borderId="1" xfId="0"/>
    <x:xf numFmtId="0" fontId="4" fillId="3" borderId="1" xfId="0"/>
    <x:xf numFmtId="0" fontId="0" fillId="0" borderId="1" xfId="0"/>
    <x:xf numFmtId="0" fontId="0" fillId="0" borderId="1" xfId="0" applyAlignment="1">
      <x:alignment wrapText="1"/>
    </x:xf>
    <x:xf numFmtId="0" fontId="4" fillId="3" borderId="1" xfId="0" applyAlignment="1">
      <x:alignment wrapText="1"/>
    </x:xf>
    <x:xf numFmtId="0" fontId="0" fillId="5" borderId="0" xfId="0"/>
    <x:xf numFmtId="0" fontId="5" fillId="5" borderId="0" xfId="0"/>
    <x:xf numFmtId="0" fontId="5" fillId="5" borderId="2" xfId="0"/>
    <x:xf numFmtId="0" fontId="5" fillId="5" borderId="3" xfId="0"/>
    <x:xf numFmtId="0" fontId="5" fillId="5" borderId="4" xfId="0"/>
    <x:xf numFmtId="0" fontId="5" fillId="5" borderId="5" xfId="0"/>
    <x:xf numFmtId="0" fontId="5" fillId="5" borderId="6" xfId="0"/>
    <x:xf numFmtId="0" fontId="5" fillId="5" borderId="7" xfId="0"/>
    <x:xf numFmtId="0" fontId="5" fillId="5" borderId="8" xfId="0"/>
    <x:xf numFmtId="0" fontId="5" fillId="5" borderId="9" xfId="0"/>
    <x:xf numFmtId="0" fontId="5" fillId="5" borderId="2" xfId="0" applyAlignment="1">
      <x:alignment wrapText="1"/>
    </x:xf>
    <x:xf numFmtId="0" fontId="5" fillId="5" borderId="3" xfId="0" applyAlignment="1">
      <x:alignment wrapText="1"/>
    </x:xf>
    <x:xf numFmtId="0" fontId="5" fillId="5" borderId="4" xfId="0" applyAlignment="1">
      <x:alignment wrapText="1"/>
    </x:xf>
    <x:xf numFmtId="0" fontId="5" fillId="5" borderId="5" xfId="0" applyAlignment="1">
      <x:alignment wrapText="1"/>
    </x:xf>
    <x:xf numFmtId="0" fontId="5" fillId="5" borderId="0" xfId="0" applyAlignment="1">
      <x:alignment wrapText="1"/>
    </x:xf>
    <x:xf numFmtId="0" fontId="5" fillId="5" borderId="6" xfId="0" applyAlignment="1">
      <x:alignment wrapText="1"/>
    </x:xf>
    <x:xf numFmtId="0" fontId="5" fillId="5" borderId="7" xfId="0" applyAlignment="1">
      <x:alignment wrapText="1"/>
    </x:xf>
    <x:xf numFmtId="0" fontId="5" fillId="5" borderId="8" xfId="0" applyAlignment="1">
      <x:alignment wrapText="1"/>
    </x:xf>
    <x:xf numFmtId="0" fontId="5" fillId="5" borderId="9" xfId="0" applyAlignment="1">
      <x:alignment wrapText="1"/>
    </x:xf>
    <x:xf numFmtId="0" fontId="5" fillId="5" borderId="2" xfId="0" applyAlignment="1">
      <x:alignment vertical="center" wrapText="1"/>
    </x:xf>
    <x:xf numFmtId="0" fontId="5" fillId="5" borderId="3" xfId="0" applyAlignment="1">
      <x:alignment vertical="center" wrapText="1"/>
    </x:xf>
    <x:xf numFmtId="0" fontId="5" fillId="5" borderId="4" xfId="0" applyAlignment="1">
      <x:alignment vertical="center" wrapText="1"/>
    </x:xf>
    <x:xf numFmtId="0" fontId="5" fillId="5" borderId="5" xfId="0" applyAlignment="1">
      <x:alignment vertical="center" wrapText="1"/>
    </x:xf>
    <x:xf numFmtId="0" fontId="5" fillId="5" borderId="0" xfId="0" applyAlignment="1">
      <x:alignment vertical="center" wrapText="1"/>
    </x:xf>
    <x:xf numFmtId="0" fontId="5" fillId="5" borderId="6" xfId="0" applyAlignment="1">
      <x:alignment vertical="center" wrapText="1"/>
    </x:xf>
    <x:xf numFmtId="0" fontId="5" fillId="5" borderId="7" xfId="0" applyAlignment="1">
      <x:alignment vertical="center" wrapText="1"/>
    </x:xf>
    <x:xf numFmtId="0" fontId="5" fillId="5" borderId="8" xfId="0" applyAlignment="1">
      <x:alignment vertical="center" wrapText="1"/>
    </x:xf>
    <x:xf numFmtId="0" fontId="5" fillId="5" borderId="9" xfId="0" applyAlignment="1">
      <x:alignment vertical="center" wrapText="1"/>
    </x:xf>
    <x:xf numFmtId="0" fontId="3" fillId="4" borderId="10" xfId="0"/>
    <x:xf numFmtId="0" fontId="3" fillId="4" borderId="11" xfId="0"/>
    <x:xf numFmtId="0" fontId="3" fillId="4" borderId="12" xfId="0"/>
    <x:xf numFmtId="0" fontId="3" fillId="4" borderId="10" xfId="0" applyAlignment="1">
      <x:alignment wrapText="1"/>
    </x:xf>
    <x:xf numFmtId="0" fontId="3" fillId="4" borderId="11" xfId="0" applyAlignment="1">
      <x:alignment wrapText="1"/>
    </x:xf>
    <x:xf numFmtId="0" fontId="3" fillId="4" borderId="12" xfId="0" applyAlignment="1">
      <x:alignment wrapText="1"/>
    </x:xf>
    <x:xf numFmtId="0" fontId="3" fillId="4" borderId="10" xfId="0" applyAlignment="1">
      <x:alignment vertical="center" wrapText="1"/>
    </x:xf>
    <x:xf numFmtId="0" fontId="3" fillId="4" borderId="11" xfId="0" applyAlignment="1">
      <x:alignment vertical="center" wrapText="1"/>
    </x:xf>
    <x:xf numFmtId="0" fontId="3" fillId="4" borderId="12" xfId="0" applyAlignment="1">
      <x:alignment vertical="center" wrapText="1"/>
    </x:xf>
    <x:xf numFmtId="0" fontId="6" fillId="0" borderId="0" xfId="0"/>
    <x:xf numFmtId="0" fontId="6" fillId="0" borderId="13" xfId="0"/>
    <x:xf numFmtId="0" fontId="6" fillId="0" borderId="14" xfId="0"/>
    <x:xf numFmtId="0" fontId="6" fillId="0" borderId="13" xfId="0" applyAlignment="1">
      <x:alignment vertical="top"/>
    </x:xf>
    <x:xf numFmtId="0" fontId="6" fillId="0" borderId="14" xfId="0" applyAlignment="1">
      <x:alignment vertical="top"/>
    </x:xf>
    <x:xf numFmtId="0" fontId="6" fillId="0" borderId="13" xfId="0" applyAlignment="1">
      <x:alignment vertical="top" wrapText="1"/>
    </x:xf>
    <x:xf numFmtId="0" fontId="6" fillId="0" borderId="14" xfId="0" applyAlignment="1">
      <x:alignment vertical="top" wrapText="1"/>
    </x:xf>
    <x:xf numFmtId="164" fontId="6" fillId="0" borderId="13" xfId="0" applyAlignment="1">
      <x:alignment vertical="top"/>
    </x:xf>
    <x:xf numFmtId="164" fontId="0" fillId="0" borderId="0" xfId="0"/>
    <x:xf numFmtId="0" fontId="5" fillId="5" borderId="15" xfId="0" applyAlignment="1">
      <x:alignment vertical="center" wrapText="1"/>
    </x:xf>
    <x:xf numFmtId="0" fontId="0" fillId="0" borderId="3" xfId="0"/>
    <x:xf numFmtId="0" fontId="0" fillId="0" borderId="4" xfId="0"/>
    <x:xf numFmtId="0" fontId="0" fillId="0" borderId="5" xfId="0"/>
    <x:xf numFmtId="0" fontId="0" fillId="0" borderId="6" xfId="0"/>
    <x:xf numFmtId="0" fontId="0" fillId="0" borderId="7" xfId="0"/>
    <x:xf numFmtId="0" fontId="0" fillId="0" borderId="8" xfId="0"/>
    <x:xf numFmtId="0" fontId="0" fillId="0" borderId="9" xfId="0"/>
    <x:xf numFmtId="164" fontId="6" fillId="0" borderId="13" xfId="0" applyAlignment="1">
      <x:alignment vertical="top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8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17365D"/>
      </x:font>
      <x:fill>
        <x:patternFill>
          <x:bgColor rgb="FFD9EAF7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5519c3de1d426e" /><Relationship Type="http://schemas.openxmlformats.org/officeDocument/2006/relationships/theme" Target="/xl/theme/theme1.xml" Id="R60efbacf1f6f4d07" /><Relationship Type="http://schemas.openxmlformats.org/officeDocument/2006/relationships/sharedStrings" Target="/xl/sharedStrings.xml" Id="R24900f3e7bd248ae" /><Relationship Type="http://schemas.openxmlformats.org/officeDocument/2006/relationships/worksheet" Target="/xl/worksheets/sheet1.xml" Id="R47e4071c54924f8d" /><Relationship Type="http://schemas.openxmlformats.org/officeDocument/2006/relationships/worksheet" Target="/xl/worksheets/sheet2.xml" Id="R54a12f18dd0b47d3" /><Relationship Type="http://schemas.openxmlformats.org/officeDocument/2006/relationships/worksheet" Target="/xl/worksheets/sheet3.xml" Id="R03b142c15e784e09" /><Relationship Type="http://schemas.openxmlformats.org/officeDocument/2006/relationships/worksheet" Target="/xl/worksheets/sheet4.xml" Id="R7f4ad6c6c1154e3a" /><Relationship Type="http://schemas.openxmlformats.org/officeDocument/2006/relationships/worksheet" Target="/xl/worksheets/sheet5.xml" Id="Ra5462920a0a54b0a" /><Relationship Type="http://schemas.openxmlformats.org/officeDocument/2006/relationships/worksheet" Target="/xl/worksheets/sheet6.xml" Id="R33621fbffa454a76" /><Relationship Type="http://schemas.openxmlformats.org/officeDocument/2006/relationships/worksheet" Target="/xl/worksheets/sheet7.xml" Id="Re2d1bf198f744603" /><Relationship Type="http://schemas.openxmlformats.org/officeDocument/2006/relationships/worksheet" Target="/xl/worksheets/sheet8.xml" Id="R0f7a593810304e39" /><Relationship Type="http://schemas.openxmlformats.org/officeDocument/2006/relationships/worksheet" Target="/xl/worksheets/sheet9.xml" Id="R534c6461f0194093" /><Relationship Type="http://schemas.openxmlformats.org/officeDocument/2006/relationships/worksheet" Target="/xl/worksheets/sheet10.xml" Id="Rc7481425cd5f4a6a" /></Relationships>
</file>

<file path=xl/tables/table1.xml><?xml version="1.0" encoding="utf-8"?>
<x:table xmlns:x="http://schemas.openxmlformats.org/spreadsheetml/2006/main" id="1" name="DataModelTables" displayName="DataModelTables" ref="A4:G17" headerRowCount="1" totalsRowCount="0" totalsRowShown="0">
  <x:autoFilter ref="A4:G17"/>
  <x:tableColumns count="7">
    <x:tableColumn id="1" name="Table"/>
    <x:tableColumn id="2" name="Source"/>
    <x:tableColumn id="3" name="Loaded in"/>
    <x:tableColumn id="4" name="Physical"/>
    <x:tableColumn id="5" name="OLTP VCs"/>
    <x:tableColumn id="6" name="OLAP VCs"/>
    <x:tableColumn id="7" name="Purpo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ModelColumns" displayName="DataModelColumns" ref="A4:H369" headerRowCount="1" totalsRowCount="0" totalsRowShown="0">
  <x:autoFilter ref="A4:H369"/>
  <x:tableColumns count="8">
    <x:tableColumn id="1" name="Table"/>
    <x:tableColumn id="2" name="Column Order"/>
    <x:tableColumn id="3" name="Column"/>
    <x:tableColumn id="4" name="Kind / type"/>
    <x:tableColumn id="5" name="Availability"/>
    <x:tableColumn id="6" name="Flags"/>
    <x:tableColumn id="7" name="Purpose"/>
    <x:tableColumn id="8" name="Definition / express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ModelRelationships" displayName="DataModelRelationships" ref="A4:E18" headerRowCount="1" totalsRowCount="0" totalsRowShown="0">
  <x:autoFilter ref="A4:E18"/>
  <x:tableColumns count="5">
    <x:tableColumn id="1" name="Child table"/>
    <x:tableColumn id="2" name="Ref column"/>
    <x:tableColumn id="3" name="Parent table"/>
    <x:tableColumn id="4" name="Cardinality"/>
    <x:tableColumn id="5" name="Is a part of?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ModelSlices" displayName="DataModelSlices" ref="A4:H17" headerRowCount="1" totalsRowCount="0" totalsRowShown="0">
  <x:tableColumns count="8">
    <x:tableColumn id="1" name="App"/>
    <x:tableColumn id="2" name="Slice"/>
    <x:tableColumn id="3" name="Source"/>
    <x:tableColumn id="4" name="Row Filter"/>
    <x:tableColumn id="5" name="Update Mode"/>
    <x:tableColumn id="6" name="Column Count"/>
    <x:tableColumn id="7" name="Purpose"/>
    <x:tableColumn id="8" name="Comme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ModelSliceColumns" displayName="DataModelSliceColumns" ref="A4:D371" headerRowCount="1" totalsRowCount="0" totalsRowShown="0">
  <x:tableColumns count="4">
    <x:tableColumn id="1" name="App"/>
    <x:tableColumn id="2" name="Slice"/>
    <x:tableColumn id="3" name="Column Order"/>
    <x:tableColumn id="4" name="Colum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ModelAppVariances" displayName="DataModelAppVariances" ref="A4:F203" headerRowCount="1" totalsRowCount="0" totalsRowShown="0">
  <x:autoFilter ref="A4:F203"/>
  <x:tableColumns count="6">
    <x:tableColumn id="1" name="Object Type"/>
    <x:tableColumn id="2" name="Table"/>
    <x:tableColumn id="3" name="Object"/>
    <x:tableColumn id="4" name="OLTP Presence"/>
    <x:tableColumn id="5" name="OLAP Presence"/>
    <x:tableColumn id="6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ModelChangeLog" displayName="DataModelChangeLog" ref="A4:I5" headerRowCount="1" totalsRowCount="0" totalsRowShown="0">
  <x:autoFilter ref="A4:I5"/>
  <x:tableColumns count="9">
    <x:tableColumn id="1" name="Date"/>
    <x:tableColumn id="2" name="Artifact"/>
    <x:tableColumn id="3" name="Object Type"/>
    <x:tableColumn id="4" name="Object Name"/>
    <x:tableColumn id="5" name="Change Type"/>
    <x:tableColumn id="6" name="Summary"/>
    <x:tableColumn id="7" name="Source Baseline"/>
    <x:tableColumn id="8" name="Reconciled with AppSheet?"/>
    <x:tableColumn id="9" name="Updated B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ymentsCloneColumns" displayName="PaymentsCloneColumns" ref="A4:H58" headerRowCount="1" totalsRowCount="0" totalsRowShown="0">
  <x:tableColumns count="8">
    <x:tableColumn id="1" name="Table"/>
    <x:tableColumn id="2" name="App order"/>
    <x:tableColumn id="3" name="Column"/>
    <x:tableColumn id="4" name="Kind / type"/>
    <x:tableColumn id="5" name="Availability"/>
    <x:tableColumn id="6" name="Flags"/>
    <x:tableColumn id="7" name="Purpose"/>
    <x:tableColumn id="8" name="Definition / express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ymentsCloneSliceColumns" displayName="PaymentsCloneSliceColumns" ref="A4:G49" headerRowCount="1" totalsRowCount="0" totalsRowShown="0">
  <x:tableColumns count="7">
    <x:tableColumn id="1" name="Slice"/>
    <x:tableColumn id="2" name="Source"/>
    <x:tableColumn id="3" name="Position"/>
    <x:tableColumn id="4" name="Column"/>
    <x:tableColumn id="5" name="Row filter"/>
    <x:tableColumn id="6" name="Update mode"/>
    <x:tableColumn id="7" name="Slice act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5ca677aa2a4f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5e3a58dbb841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2bb4dffb9d4e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eba66efae1b4d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fb9d440a33646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438228ee84477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04abbc8c0a40d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b695cb52b8b4b5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d207440a75949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76" customWidth="1"/>
    <x:col min="3" max="3" width="14" customWidth="1"/>
    <x:col min="4" max="4" width="14" customWidth="1"/>
    <x:col min="5" max="5" width="14" customWidth="1"/>
    <x:col min="6" max="6" width="14" customWidth="1"/>
  </x:cols>
  <x:sheetData>
    <x:row r="1" ht="30" customHeight="1">
      <x:c r="A1" s="3" t="inlineStr">
        <x:is>
          <x:t xml:space="preserve">AppSheet Data Dictionary</x:t>
        </x:is>
      </x:c>
    </x:row>
    <x:row r="2" ht="30" customHeight="1">
      <x:c r="A2" s="7" t="inlineStr">
        <x:is>
          <x:t xml:space="preserve">Technical companion to AppSheet_Data_Model_Overview.md</x:t>
        </x:is>
      </x:c>
    </x:row>
    <x:row r="3"/>
    <x:row r="4">
      <x:c r="A4" s="11" t="inlineStr">
        <x:is>
          <x:t xml:space="preserve">Control</x:t>
        </x:is>
      </x:c>
      <x:c r="B4" s="11" t="inlineStr">
        <x:is>
          <x:t xml:space="preserve">Value</x:t>
        </x:is>
      </x:c>
    </x:row>
    <x:row r="5" ht="80" customHeight="1">
      <x:c r="A5" s="84" t="inlineStr">
        <x:is>
          <x:t xml:space="preserve">Reconciliation status</x:t>
        </x:is>
      </x:c>
      <x:c r="B5" s="85" t="str">
        <x:v>Universal payments reconciled to production OLTP v3.000002 on 2026-09-06: 187 column definitions and 133 documented behavior/view objects compared with the accepted clone. Synthetic production validation and cleanup passed. OLAP v1.100012 retains its earlier loaded schema; new Repayments trace fields remain pending schema reconciliation.</x:v>
      </x:c>
      <x:c r="C5" s="73"/>
      <x:c r="D5" s="73"/>
      <x:c r="E5" s="73"/>
      <x:c r="F5" s="73"/>
    </x:row>
    <x:row r="6" ht="80" customHeight="1">
      <x:c r="A6" s="84" t="inlineStr">
        <x:is>
          <x:t xml:space="preserve">Live baselines</x:t>
        </x:is>
      </x:c>
      <x:c r="B6" s="85" t="str">
        <x:v>OLTP v3.000002 — Loan Manager ผู้จัดการสินเชื่อ — 93844270-6aa5-420b-a960-bcdf08abd357; rollback v2.300005. OLAP v1.100012 — Loan Business Insights — e74dd368-654f-44d7-bccf-83cf361d1cdb; inspected without changing app configuration.</x:v>
      </x:c>
      <x:c r="C6" s="73"/>
      <x:c r="D6" s="73"/>
      <x:c r="E6" s="73"/>
      <x:c r="F6" s="73"/>
    </x:row>
    <x:row r="7" ht="15" customHeight="1">
      <x:c r="A7" s="12" t="inlineStr">
        <x:is>
          <x:t xml:space="preserve">Reconciliation date</x:t>
        </x:is>
      </x:c>
      <x:c r="B7" s="14" t="str">
        <x:v>2026-09-04 (Asia/Singapore)</x:v>
      </x:c>
    </x:row>
    <x:row r="8" ht="15" customHeight="1">
      <x:c r="A8" s="12" t="inlineStr">
        <x:is>
          <x:t xml:space="preserve">Tables</x:t>
        </x:is>
      </x:c>
      <x:c r="B8" s="14" t="n">
        <x:f>COUNTA('Tables'!A5:A100)</x:f>
        <x:v>13</x:v>
      </x:c>
    </x:row>
    <x:row r="9" ht="15" customHeight="1">
      <x:c r="A9" s="12" t="inlineStr">
        <x:is>
          <x:t xml:space="preserve">Columns</x:t>
        </x:is>
      </x:c>
      <x:c r="B9" s="14" t="n">
        <x:v>318</x:v>
      </x:c>
    </x:row>
    <x:row r="10" ht="15" customHeight="1">
      <x:c r="A10" s="12" t="inlineStr">
        <x:is>
          <x:t xml:space="preserve">Relationships</x:t>
        </x:is>
      </x:c>
      <x:c r="B10" s="14" t="n">
        <x:f>COUNTA('Relationships'!A5:A100)</x:f>
        <x:v>14</x:v>
      </x:c>
    </x:row>
    <x:row r="11" ht="15" customHeight="1">
      <x:c r="A11" s="12" t="inlineStr">
        <x:is>
          <x:t xml:space="preserve">Slices</x:t>
        </x:is>
      </x:c>
      <x:c r="B11" s="14" t="n">
        <x:v>14</x:v>
      </x:c>
    </x:row>
    <x:row r="14">
      <x:c r="A14" s="11" t="inlineStr">
        <x:is>
          <x:t xml:space="preserve">Worksheet</x:t>
        </x:is>
      </x:c>
      <x:c r="B14" s="11" t="inlineStr">
        <x:is>
          <x:t xml:space="preserve">Maintenance purpose</x:t>
        </x:is>
      </x:c>
    </x:row>
    <x:row r="15" ht="15" customHeight="1">
      <x:c r="A15" s="15" t="inlineStr">
        <x:is>
          <x:t xml:space="preserve">Tables</x:t>
        </x:is>
      </x:c>
      <x:c r="B15" s="14" t="inlineStr">
        <x:is>
          <x:t xml:space="preserve">One row per source table with loading scope, physical/VC counts, and purpose.</x:t>
        </x:is>
      </x:c>
    </x:row>
    <x:row r="16" ht="26.399999618530273" customHeight="1">
      <x:c r="A16" s="15" t="inlineStr">
        <x:is>
          <x:t xml:space="preserve">Columns</x:t>
        </x:is>
      </x:c>
      <x:c r="B16" s="14" t="inlineStr">
        <x:is>
          <x:t xml:space="preserve">One row per unioned column definition. Shared rows follow the OLAP order; OLTP-only columns are appended where necessary.</x:t>
        </x:is>
      </x:c>
    </x:row>
    <x:row r="17" ht="15" customHeight="1">
      <x:c r="A17" s="15" t="inlineStr">
        <x:is>
          <x:t xml:space="preserve">Relationships</x:t>
        </x:is>
      </x:c>
      <x:c r="B17" s="14" t="inlineStr">
        <x:is>
          <x:t xml:space="preserve">Direct Ref relationships and documented part-of behavior.</x:t>
        </x:is>
      </x:c>
    </x:row>
    <x:row r="18" ht="15" customHeight="1">
      <x:c r="A18" s="15" t="inlineStr">
        <x:is>
          <x:t xml:space="preserve">Slices</x:t>
        </x:is>
      </x:c>
      <x:c r="B18" s="14" t="inlineStr">
        <x:is>
          <x:t xml:space="preserve">Slice source, filter, update mode, purpose, and column count.</x:t>
        </x:is>
      </x:c>
    </x:row>
    <x:row r="19" ht="15" customHeight="1">
      <x:c r="A19" s="15" t="inlineStr">
        <x:is>
          <x:t xml:space="preserve">Slice Columns</x:t>
        </x:is>
      </x:c>
      <x:c r="B19" s="14" t="inlineStr">
        <x:is>
          <x:t xml:space="preserve">One row per included column, preserving slice column order.</x:t>
        </x:is>
      </x:c>
    </x:row>
    <x:row r="20" ht="15" customHeight="1">
      <x:c r="A20" s="15" t="inlineStr">
        <x:is>
          <x:t xml:space="preserve">App Variances</x:t>
        </x:is>
      </x:c>
      <x:c r="B20" s="14" t="inlineStr">
        <x:is>
          <x:t xml:space="preserve">Tables and columns present in only one app.</x:t>
        </x:is>
      </x:c>
    </x:row>
    <x:row r="21" ht="15" customHeight="1">
      <x:c r="A21" s="15" t="inlineStr">
        <x:is>
          <x:t xml:space="preserve">Change Log</x:t>
        </x:is>
      </x:c>
      <x:c r="B21" s="14" t="inlineStr">
        <x:is>
          <x:t xml:space="preserve">Reserved historical worksheet. Authoritative change history is maintained in Change Logs/*.md.</x:t>
        </x:is>
      </x:c>
    </x:row>
    <x:row r="22" ht="26.399999618530273" customHeight="1">
      <x:c r="A22" s="15" t="inlineStr">
        <x:is>
          <x:t xml:space="preserve">Maintenance rule</x:t>
        </x:is>
      </x:c>
      <x:c r="B22" s="14" t="inlineStr">
        <x:is>
          <x:t xml:space="preserve">For every model change, update this workbook, AppSheet_Data_Model_Overview.md, and a dated Markdown file in Change Logs/.</x:t>
        </x:is>
      </x:c>
    </x:row>
    <x:row r="24" ht="63" customHeight="1">
      <x:c r="A24" s="62" t="str">
        <x:v>Shared VC baseline: 82 VCs are present in both apps. Repayments[Payment Amount Today] and Charges[Payment Received Today] are OLTP-only. Borrowers[Todays Amount Collected] is shared by name but now has an intentional formula variance: OLTP sums the today-only charge helper, while OLAP continues to sum cumulative Total Paid. Earlier daily-installment variances remain resolved. Borrowers[Active Profit After Principal Coverage] remains OLTP-only; Borrowers[Projected Monthly Profit Contribution] and the eleven Matrix* helpers remain OLAP-only.</x:v>
      </x:c>
      <x:c r="B24" s="63" t="n"/>
      <x:c r="C24" s="63" t="n"/>
      <x:c r="D24" s="63" t="n"/>
      <x:c r="E24" s="63" t="n"/>
      <x:c r="F24" s="64" t="n"/>
    </x:row>
    <x:row r="25">
      <x:c r="A25" s="65" t="n"/>
      <x:c r="F25" s="66" t="n"/>
    </x:row>
    <x:row r="26">
      <x:c r="A26" s="67" t="n"/>
      <x:c r="B26" s="68" t="n"/>
      <x:c r="C26" s="68" t="n"/>
      <x:c r="D26" s="68" t="n"/>
      <x:c r="E26" s="68" t="n"/>
      <x:c r="F26" s="69" t="n"/>
    </x:row>
    <x:row r="28" ht="60" customHeight="1">
      <x:c r="A28" s="81" t="str">
        <x:v>Payments Clone</x:v>
      </x:c>
      <x:c r="B28" s="80" t="str">
        <x:v>Separate technical inventory at clone v1.000065 on 2026-09-06: 54 inspected new/changed definitions. Targeted payment tests pass after fixes; broader testing incomplete. Existing production inventory sheets retain their dated baselines.</x:v>
      </x:c>
      <x:c r="C28" s="80"/>
      <x:c r="D28" s="80"/>
      <x:c r="E28" s="80"/>
      <x:c r="F28" s="80"/>
    </x:row>
    <x:row r="29" ht="60" customHeight="1">
      <x:c r="A29" s="81" t="str">
        <x:v>Clone rollback</x:v>
      </x:c>
      <x:c r="B29" s="80" t="str">
        <x:v>App v1.000002; physical schema rollback requires a fresh isolated source copy. See the authoritative Markdown change log for exact object changes and remaining work.</x:v>
      </x:c>
      <x:c r="C29" s="80"/>
      <x:c r="D29" s="80"/>
      <x:c r="E29" s="80"/>
      <x:c r="F29" s="80"/>
    </x:row>
    <x:row r="32" ht="66" customHeight="1">
      <x:c r="A32" s="86" t="str">
        <x:v>Production payments</x:v>
      </x:c>
      <x:c r="B32" s="73" t="str">
        <x:v>Deployed OLTP 3.000002; original app93844270-6aa5-420b-a960-bcdf08abd357, original Money database9Y5vh3TFzZ4sIe2JgNh4l0. 187 column definitions and133 behavior/view objects matched accepted clone.</x:v>
      </x:c>
      <x:c r="C32" s="73"/>
      <x:c r="D32" s="73"/>
      <x:c r="E32" s="73"/>
      <x:c r="F32" s="73"/>
    </x:row>
    <x:row r="33" ht="66" customHeight="1">
      <x:c r="A33" s="86" t="str">
        <x:v>Rollback</x:v>
      </x:c>
      <x:c r="B33" s="73" t="str">
        <x:v>App v2.300005; full backup app243eb391-5f6d-4720-a7e2-f0dc67151e78 with databaseSAYscSVuS847EarNTaAiwc. Copied Row IDs differ; retain backup pair. App restoration does not restore physical data.</x:v>
      </x:c>
      <x:c r="C33" s="73"/>
      <x:c r="D33" s="73"/>
      <x:c r="E33" s="73"/>
      <x:c r="F33" s="73"/>
    </x:row>
    <x:row r="34" ht="66" customHeight="1">
      <x:c r="A34" s="86" t="str">
        <x:v>Production verification</x:v>
      </x:c>
      <x:c r="B34" s="73" t="str">
        <x:v>Synthetic first-day10, overpayment rejection21/20, lump sum15 and closure105 passed; receipt/plan/post totals reconciled. Borrower cascade removed fixtures; ten operational KPI amounts returned to baseline. Notifications suppressed for tests and restored afterward.</x:v>
      </x:c>
      <x:c r="C34" s="73"/>
      <x:c r="D34" s="73"/>
      <x:c r="E34" s="73"/>
      <x:c r="F34" s="73"/>
    </x:row>
    <x:row r="35" ht="66" customHeight="1">
      <x:c r="A35" s="86" t="str">
        <x:v>Reporting boundary</x:v>
      </x:c>
      <x:c r="B35" s="73" t="str">
        <x:v>OLAP v1.100012 loads prior schema with non-blocking Repayments source warning. New payment trace fields not loaded. Existing recent-snapshot refresh rerun after cleanup; no reporting formula changes. Offline/concurrent/role/mobile and notification delivery remain manual checks.</x:v>
      </x:c>
      <x:c r="C35" s="73"/>
      <x:c r="D35" s="73"/>
      <x:c r="E35" s="73"/>
      <x:c r="F35" s="73"/>
    </x:row>
    <x:row r="36" ht="66" customHeight="1">
      <x:c r="A36" s="86" t="str">
        <x:v>Authoritative change history</x:v>
      </x:c>
      <x:c r="B36" s="73" t="str">
        <x:v>Change Logs/CHANGE_NOTES_UNIVERSAL_PAYMENTS_PRODUCTION_2026-09-06.md. Clone sheets remain historical evidence. Inventory order retains the older union sequence; the two new tables use production order, and Repayments flags state current OLTP order. Columns, Tables, Relationships and Slices record the migrated model.</x:v>
      </x:c>
      <x:c r="C36" s="73"/>
      <x:c r="D36" s="73"/>
      <x:c r="E36" s="73"/>
      <x:c r="F36" s="73"/>
    </x:row>
  </x:sheetData>
  <x:mergeCells>
    <x:mergeCell ref="A2:F2"/>
    <x:mergeCell ref="A1:F1"/>
    <x:mergeCell ref="A24:F26"/>
    <x:mergeCell ref="B28:F28"/>
    <x:mergeCell ref="B29:F29"/>
    <x:mergeCell ref="B32:F32"/>
    <x:mergeCell ref="B33:F33"/>
    <x:mergeCell ref="B34:F34"/>
    <x:mergeCell ref="B35:F35"/>
    <x:mergeCell ref="B36:F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28" customWidth="1"/>
    <x:col min="3" max="3" width="18" customWidth="1"/>
    <x:col min="4" max="4" width="12" customWidth="1"/>
    <x:col min="5" max="5" width="12" customWidth="1"/>
    <x:col min="6" max="6" width="12" customWidth="1"/>
    <x:col min="7" max="7" width="66" customWidth="1"/>
  </x:cols>
  <x:sheetData>
    <x:row r="1" ht="30" customHeight="1">
      <x:c r="A1" s="3" t="inlineStr">
        <x:is>
          <x:t xml:space="preserve">Tables</x:t>
        </x:is>
      </x:c>
    </x:row>
    <x:row r="2" ht="36" customHeight="1">
      <x:c r="A2" s="7" t="str">
        <x:v>Twelve native tables, eight loaded by OLTP. New payment tables are OLTP-only; physical counts include system source ordinal. Existing OLAP inventory retains its dated reconciliation.</x:v>
      </x:c>
    </x:row>
    <x:row r="4" ht="30" customHeight="1">
      <x:c r="A4" s="50" t="inlineStr">
        <x:is>
          <x:t xml:space="preserve">Table</x:t>
        </x:is>
      </x:c>
      <x:c r="B4" s="51" t="inlineStr">
        <x:is>
          <x:t xml:space="preserve">Source</x:t>
        </x:is>
      </x:c>
      <x:c r="C4" s="51" t="inlineStr">
        <x:is>
          <x:t xml:space="preserve">Loaded in</x:t>
        </x:is>
      </x:c>
      <x:c r="D4" s="51" t="inlineStr">
        <x:is>
          <x:t xml:space="preserve">Physical</x:t>
        </x:is>
      </x:c>
      <x:c r="E4" s="51" t="inlineStr">
        <x:is>
          <x:t xml:space="preserve">OLTP VCs</x:t>
        </x:is>
      </x:c>
      <x:c r="F4" s="51" t="inlineStr">
        <x:is>
          <x:t xml:space="preserve">OLAP VCs</x:t>
        </x:is>
      </x:c>
      <x:c r="G4" s="52" t="inlineStr">
        <x:is>
          <x:t xml:space="preserve">Purpose</x:t>
        </x:is>
      </x:c>
    </x:row>
    <x:row r="5" ht="15" customHeight="1">
      <x:c r="A5" s="56" t="str">
        <x:v>Borrowers</x:v>
      </x:c>
      <x:c r="B5" s="58" t="str">
        <x:v>Money database</x:v>
      </x:c>
      <x:c r="C5" s="56" t="str">
        <x:v>OLTP + OLAP</x:v>
      </x:c>
      <x:c r="D5" s="56" t="str">
        <x:v>7</x:v>
      </x:c>
      <x:c r="E5" s="56" t="n">
        <x:v>26</x:v>
      </x:c>
      <x:c r="F5" s="56" t="n">
        <x:v>62</x:v>
      </x:c>
      <x:c r="G5" s="58" t="str">
        <x:v>Borrower master records and indicators; includes the OLAP-only projected-monthly-profit contribution and borrower value/stability matrix VCs plus the OLTP-only active principal-coverage VC. Hidden Flag is loaded in both apps but filters only the OLTP primary borrower list.</x:v>
      </x:c>
    </x:row>
    <x:row r="6" ht="15" customHeight="1">
      <x:c r="A6" s="57" t="str">
        <x:v>Calendar</x:v>
      </x:c>
      <x:c r="B6" s="59" t="str">
        <x:v>Calendar Help Table / Sheet1</x:v>
      </x:c>
      <x:c r="C6" s="57" t="str">
        <x:v>OLAP only</x:v>
      </x:c>
      <x:c r="D6" s="57" t="str">
        <x:v>2</x:v>
      </x:c>
      <x:c r="E6" s="57" t="str">
        <x:v>0</x:v>
      </x:c>
      <x:c r="F6" s="57" t="n">
        <x:v>26</x:v>
      </x:c>
      <x:c r="G6" s="59" t="str">
        <x:v>Google Sheets-backed date spine used by OLAP loan-assessment projections, including declining daily-installment principal and interest schedules.</x:v>
      </x:c>
    </x:row>
    <x:row r="7" ht="15" customHeight="1">
      <x:c r="A7" s="57" t="str">
        <x:v>Cash Pool Contributions</x:v>
      </x:c>
      <x:c r="B7" s="59" t="str">
        <x:v>Money database</x:v>
      </x:c>
      <x:c r="C7" s="57" t="str">
        <x:v>OLAP only</x:v>
      </x:c>
      <x:c r="D7" s="57" t="str">
        <x:v>7</x:v>
      </x:c>
      <x:c r="E7" s="57" t="str">
        <x:v>0</x:v>
      </x:c>
      <x:c r="F7" s="57" t="str">
        <x:v>2</x:v>
      </x:c>
      <x:c r="G7" s="59" t="str">
        <x:v>Partner capital-contribution movements that build the lendable cash pool.</x:v>
      </x:c>
    </x:row>
    <x:row r="8" ht="25.5" customHeight="1">
      <x:c r="A8" s="57" t="str">
        <x:v>Charges</x:v>
      </x:c>
      <x:c r="B8" s="59" t="str">
        <x:v>Money database</x:v>
      </x:c>
      <x:c r="C8" s="57" t="str">
        <x:v>OLTP + OLAP</x:v>
      </x:c>
      <x:c r="D8" s="57" t="str">
        <x:v>7</x:v>
      </x:c>
      <x:c r="E8" s="57" t="n">
        <x:v>18</x:v>
      </x:c>
      <x:c r="F8" s="57" t="str">
        <x:v>18</x:v>
      </x:c>
      <x:c r="G8" s="59" t="str">
        <x:v>Scheduled amounts due and collection state at charge level, including principal and interest allocation and the OLTP-only today-payment rollup used by Collection.</x:v>
      </x:c>
    </x:row>
    <x:row r="9" ht="15" customHeight="1">
      <x:c r="A9" s="57" t="str">
        <x:v>Daily Analytics</x:v>
      </x:c>
      <x:c r="B9" s="59" t="str">
        <x:v>Money database</x:v>
      </x:c>
      <x:c r="C9" s="57" t="str">
        <x:v>OLAP only</x:v>
      </x:c>
      <x:c r="D9" s="57" t="str">
        <x:v>17</x:v>
      </x:c>
      <x:c r="E9" s="57" t="str">
        <x:v>0</x:v>
      </x:c>
      <x:c r="F9" s="57" t="str">
        <x:v>6</x:v>
      </x:c>
      <x:c r="G9" s="59" t="str">
        <x:v>Persisted daily portfolio snapshot fact table for historical reporting and governed feeds.</x:v>
      </x:c>
    </x:row>
    <x:row r="10" ht="15" customHeight="1">
      <x:c r="A10" s="57" t="str">
        <x:v>Loan Assessment</x:v>
      </x:c>
      <x:c r="B10" s="59" t="str">
        <x:v>Money database</x:v>
      </x:c>
      <x:c r="C10" s="57" t="str">
        <x:v>OLAP only</x:v>
      </x:c>
      <x:c r="D10" s="57" t="str">
        <x:v>6</x:v>
      </x:c>
      <x:c r="E10" s="57" t="str">
        <x:v>0</x:v>
      </x:c>
      <x:c r="F10" s="57" t="str">
        <x:v>16</x:v>
      </x:c>
      <x:c r="G10" s="59" t="str">
        <x:v>Input/control record for evaluating a proposed loan against projected coverage and return.</x:v>
      </x:c>
    </x:row>
    <x:row r="11" ht="15" customHeight="1">
      <x:c r="A11" s="57" t="str">
        <x:v>Loans</x:v>
      </x:c>
      <x:c r="B11" s="59" t="str">
        <x:v>Money database</x:v>
      </x:c>
      <x:c r="C11" s="57" t="str">
        <x:v>OLTP + OLAP</x:v>
      </x:c>
      <x:c r="D11" s="57" t="n">
        <x:v>20</x:v>
      </x:c>
      <x:c r="E11" s="57" t="n">
        <x:v>20</x:v>
      </x:c>
      <x:c r="F11" s="57" t="n">
        <x:v>30</x:v>
      </x:c>
      <x:c r="G11" s="59" t="str">
        <x:v>Loan contracts, commercial terms, lifecycle state, balances, daily-installment reporting, and loan-level risk metrics.</x:v>
      </x:c>
    </x:row>
    <x:row r="12" ht="15" customHeight="1">
      <x:c r="A12" s="57" t="str">
        <x:v>Partners</x:v>
      </x:c>
      <x:c r="B12" s="59" t="str">
        <x:v>Money database</x:v>
      </x:c>
      <x:c r="C12" s="57" t="str">
        <x:v>OLTP + OLAP</x:v>
      </x:c>
      <x:c r="D12" s="57" t="str">
        <x:v>5</x:v>
      </x:c>
      <x:c r="E12" s="57" t="str">
        <x:v>0</x:v>
      </x:c>
      <x:c r="F12" s="57" t="str">
        <x:v>12</x:v>
      </x:c>
      <x:c r="G12" s="59" t="str">
        <x:v>Partner master records used for capital participation and settlement reporting.</x:v>
      </x:c>
    </x:row>
    <x:row r="13" ht="65" customHeight="1">
      <x:c r="A13" s="82" t="str">
        <x:v>Repayments</x:v>
      </x:c>
      <x:c r="B13" s="82" t="str">
        <x:v>Money database</x:v>
      </x:c>
      <x:c r="C13" s="82" t="str">
        <x:v>OLTP + OLAP</x:v>
      </x:c>
      <x:c r="D13" s="82" t="n">
        <x:v>11</x:v>
      </x:c>
      <x:c r="E13" s="82" t="n">
        <x:v>5</x:v>
      </x:c>
      <x:c r="F13" s="82" t="str">
        <x:v>13</x:v>
      </x:c>
      <x:c r="G13" s="82" t="str">
        <x:v>Posted payment transactions and their allocation to loans and charges, including the OLTP-only today-payment helper. Two optional native payment trace References loaded in OLTP. OLAP still loads nine physical columns plus thirteen VCs; schema reconciliation pending.</x:v>
      </x:c>
    </x:row>
    <x:row r="14" ht="15" customHeight="1">
      <x:c r="A14" s="57" t="str">
        <x:v>Settlements</x:v>
      </x:c>
      <x:c r="B14" s="59" t="str">
        <x:v>Money database</x:v>
      </x:c>
      <x:c r="C14" s="57" t="str">
        <x:v>OLAP only</x:v>
      </x:c>
      <x:c r="D14" s="57" t="str">
        <x:v>8</x:v>
      </x:c>
      <x:c r="E14" s="57" t="str">
        <x:v>0</x:v>
      </x:c>
      <x:c r="F14" s="57" t="str">
        <x:v>0</x:v>
      </x:c>
      <x:c r="G14" s="59" t="str">
        <x:v>Auditable partner settlement records and settlement status.</x:v>
      </x:c>
    </x:row>
    <x:row r="15" ht="15" customHeight="1">
      <x:c r="A15" s="57" t="str">
        <x:v>Statistics</x:v>
      </x:c>
      <x:c r="B15" s="59" t="str">
        <x:v>Money database</x:v>
      </x:c>
      <x:c r="C15" s="57" t="str">
        <x:v>OLTP + OLAP</x:v>
      </x:c>
      <x:c r="D15" s="57" t="str">
        <x:v>3</x:v>
      </x:c>
      <x:c r="E15" s="57" t="str">
        <x:v>23</x:v>
      </x:c>
      <x:c r="F15" s="57" t="str">
        <x:v>36</x:v>
      </x:c>
      <x:c r="G15" s="59" t="str">
        <x:v>Small KPI/control table used to expose app-level operational and reporting aggregates.</x:v>
      </x:c>
    </x:row>
    <x:row r="16" ht="65" customHeight="1">
      <x:c r="A16" s="73" t="str">
        <x:v>Payments</x:v>
      </x:c>
      <x:c r="B16" s="73" t="str">
        <x:v>Money database</x:v>
      </x:c>
      <x:c r="C16" s="73" t="str">
        <x:v>OLTP only</x:v>
      </x:c>
      <x:c r="D16" s="73" t="n">
        <x:v>14</x:v>
      </x:c>
      <x:c r="E16" s="73" t="n">
        <x:v>9</x:v>
      </x:c>
      <x:c r="F16" s="73" t="n">
        <x:v>0</x:v>
      </x:c>
      <x:c r="G16" s="73" t="str">
        <x:v>One received payment. Processing/Posted/Error state, method, borrower, planned/posted totals and retry. OLAP does not load this table.</x:v>
      </x:c>
    </x:row>
    <x:row r="17" ht="65" customHeight="1">
      <x:c r="A17" s="73" t="str">
        <x:v>Payment Allocations</x:v>
      </x:c>
      <x:c r="B17" s="73" t="str">
        <x:v>Money database</x:v>
      </x:c>
      <x:c r="C17" s="73" t="str">
        <x:v>OLTP only</x:v>
      </x:c>
      <x:c r="D17" s="73" t="n">
        <x:v>14</x:v>
      </x:c>
      <x:c r="E17" s="73" t="n">
        <x:v>5</x:v>
      </x:c>
      <x:c r="F17" s="73" t="n">
        <x:v>0</x:v>
      </x:c>
      <x:c r="G17" s="73" t="str">
        <x:v>Frozen eligible-charge snapshots and interest/principal allocations; generated Repayments preserve existing reporting grain. OLAP does not load this table.</x:v>
      </x:c>
    </x:row>
  </x:sheetData>
  <x:mergeCells>
    <x:mergeCell ref="A2:G2"/>
    <x:mergeCell ref="A1:G1"/>
  </x:mergeCells>
  <x:pageMargins left="0.7" right="0.7" top="0.75" bottom="0.75" header="0.3" footer="0.3"/>
  <x:tableParts count="1">
    <x:tablePart xmlns:r="http://schemas.openxmlformats.org/officeDocument/2006/relationships" r:id="Rc95ca677aa2a4f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3" customWidth="1"/>
    <x:col min="3" max="3" width="34" customWidth="1"/>
    <x:col min="4" max="4" width="22" customWidth="1"/>
    <x:col min="5" max="5" width="18" customWidth="1"/>
    <x:col min="6" max="6" width="14" customWidth="1"/>
    <x:col min="7" max="7" width="58" customWidth="1"/>
    <x:col min="8" max="8" width="78" customWidth="1"/>
  </x:cols>
  <x:sheetData>
    <x:row r="1" ht="30" customHeight="1">
      <x:c r="A1" s="3" t="str">
        <x:v>Columns</x:v>
      </x:c>
      <x:c r="B1"/>
      <x:c r="C1"/>
      <x:c r="D1"/>
      <x:c r="E1"/>
      <x:c r="F1"/>
      <x:c r="G1"/>
      <x:c r="H1"/>
    </x:row>
    <x:row r="2" ht="42" customHeight="1">
      <x:c r="A2" s="7" t="str">
        <x:v>OLTP universal payments deployed 3.000002, 6 September 2026. 54 changed definitions promoted from accepted clone; existing OLAP definitions retained. OLAP v1.100012 loads its prior Repayments schema and shows a non-blocking source-schema warning; new trace fields are not loaded there.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 ht="30" customHeight="1">
      <x:c r="A4" s="50" t="str">
        <x:v>Table</x:v>
      </x:c>
      <x:c r="B4" s="51" t="str">
        <x:v>Inventory order</x:v>
      </x:c>
      <x:c r="C4" s="51" t="str">
        <x:v>Column</x:v>
      </x:c>
      <x:c r="D4" s="51" t="str">
        <x:v>Kind / type</x:v>
      </x:c>
      <x:c r="E4" s="51" t="str">
        <x:v>Availability</x:v>
      </x:c>
      <x:c r="F4" s="51" t="str">
        <x:v>Flags</x:v>
      </x:c>
      <x:c r="G4" s="51" t="str">
        <x:v>Purpose</x:v>
      </x:c>
      <x:c r="H4" s="52" t="str">
        <x:v>Definition / expression</x:v>
      </x:c>
    </x:row>
    <x:row r="5" ht="15" customHeight="1">
      <x:c r="A5" s="56" t="str">
        <x:v>Borrowers</x:v>
      </x:c>
      <x:c r="B5" s="56" t="n">
        <x:v>1</x:v>
      </x:c>
      <x:c r="C5" s="58" t="str">
        <x:v>_RowNumber</x:v>
      </x:c>
      <x:c r="D5" s="58" t="str">
        <x:v>Physical / Number</x:v>
      </x:c>
      <x:c r="E5" s="56" t="str">
        <x:v>OLTP + OLAP</x:v>
      </x:c>
      <x:c r="F5" s="56" t="str">
        <x:v>-</x:v>
      </x:c>
      <x:c r="G5" s="58" t="str">
        <x:v>System-generated source-row ordinal; not a stable business key.</x:v>
      </x:c>
      <x:c r="H5" s="58" t="str">
        <x:v>Stored source column</x:v>
      </x:c>
    </x:row>
    <x:row r="6" ht="15" customHeight="1">
      <x:c r="A6" s="57" t="str">
        <x:v>Borrowers</x:v>
      </x:c>
      <x:c r="B6" s="57" t="n">
        <x:v>2</x:v>
      </x:c>
      <x:c r="C6" s="59" t="str">
        <x:v>Row ID</x:v>
      </x:c>
      <x:c r="D6" s="59" t="str">
        <x:v>Physical / Text</x:v>
      </x:c>
      <x:c r="E6" s="57" t="str">
        <x:v>OLTP + OLAP</x:v>
      </x:c>
      <x:c r="F6" s="57" t="str">
        <x:v>Key, Required</x:v>
      </x:c>
      <x:c r="G6" s="59" t="str">
        <x:v>Immutable row key generated by the source database.</x:v>
      </x:c>
      <x:c r="H6" s="59" t="str">
        <x:v>Stored source column; initial value: UNIQUEID("PackedUUID")</x:v>
      </x:c>
    </x:row>
    <x:row r="7" ht="15" customHeight="1">
      <x:c r="A7" s="57" t="str">
        <x:v>Borrowers</x:v>
      </x:c>
      <x:c r="B7" s="57" t="n">
        <x:v>3</x:v>
      </x:c>
      <x:c r="C7" s="59" t="str">
        <x:v>Borrower Name</x:v>
      </x:c>
      <x:c r="D7" s="59" t="str">
        <x:v>Physical / Name</x:v>
      </x:c>
      <x:c r="E7" s="57" t="str">
        <x:v>OLTP + OLAP</x:v>
      </x:c>
      <x:c r="F7" s="57" t="str">
        <x:v>Required</x:v>
      </x:c>
      <x:c r="G7" s="59" t="str">
        <x:v>Stores the authoritative source value for Borrower Name.</x:v>
      </x:c>
      <x:c r="H7" s="59" t="str">
        <x:v>Stored source column</x:v>
      </x:c>
    </x:row>
    <x:row r="8" ht="15" customHeight="1">
      <x:c r="A8" s="57" t="str">
        <x:v>Borrowers</x:v>
      </x:c>
      <x:c r="B8" s="57" t="n">
        <x:v>4</x:v>
      </x:c>
      <x:c r="C8" s="59" t="str">
        <x:v>Telephone</x:v>
      </x:c>
      <x:c r="D8" s="59" t="str">
        <x:v>Physical / Phone</x:v>
      </x:c>
      <x:c r="E8" s="57" t="str">
        <x:v>OLTP + OLAP</x:v>
      </x:c>
      <x:c r="F8" s="57" t="str">
        <x:v>PII</x:v>
      </x:c>
      <x:c r="G8" s="59" t="str">
        <x:v>Stores the authoritative source value for Telephone.</x:v>
      </x:c>
      <x:c r="H8" s="59" t="str">
        <x:v>Stored source column</x:v>
      </x:c>
    </x:row>
    <x:row r="9" ht="15" customHeight="1">
      <x:c r="A9" s="57" t="str">
        <x:v>Borrowers</x:v>
      </x:c>
      <x:c r="B9" s="57" t="n">
        <x:v>5</x:v>
      </x:c>
      <x:c r="C9" s="59" t="str">
        <x:v>Description</x:v>
      </x:c>
      <x:c r="D9" s="59" t="str">
        <x:v>Physical / LongText</x:v>
      </x:c>
      <x:c r="E9" s="57" t="str">
        <x:v>OLTP + OLAP</x:v>
      </x:c>
      <x:c r="F9" s="57" t="str">
        <x:v>-</x:v>
      </x:c>
      <x:c r="G9" s="59" t="str">
        <x:v>Stores the authoritative source value for Description.</x:v>
      </x:c>
      <x:c r="H9" s="59" t="str">
        <x:v>Stored source column</x:v>
      </x:c>
    </x:row>
    <x:row r="10" ht="15" customHeight="1">
      <x:c r="A10" s="57" t="str">
        <x:v>Borrowers</x:v>
      </x:c>
      <x:c r="B10" s="57" t="n">
        <x:v>6</x:v>
      </x:c>
      <x:c r="C10" s="59" t="str">
        <x:v>Creation Date</x:v>
      </x:c>
      <x:c r="D10" s="59" t="str">
        <x:v>Physical / Date</x:v>
      </x:c>
      <x:c r="E10" s="57" t="str">
        <x:v>OLTP + OLAP</x:v>
      </x:c>
      <x:c r="F10" s="57" t="str">
        <x:v>Required</x:v>
      </x:c>
      <x:c r="G10" s="59" t="str">
        <x:v>Stores the source date for Creation Date.</x:v>
      </x:c>
      <x:c r="H10" s="59" t="str">
        <x:v>Stored source column; initial value: TODAY()</x:v>
      </x:c>
    </x:row>
    <x:row r="11" ht="15" customHeight="1">
      <x:c r="A11" s="57" t="str">
        <x:v>Borrowers</x:v>
      </x:c>
      <x:c r="B11" s="57" t="n">
        <x:v>7</x:v>
      </x:c>
      <x:c r="C11" s="59" t="str">
        <x:v>Hidden Flag</x:v>
      </x:c>
      <x:c r="D11" s="59" t="str">
        <x:v>Physical / Yes/No</x:v>
      </x:c>
      <x:c r="E11" s="57" t="str">
        <x:v>OLTP + OLAP</x:v>
      </x:c>
      <x:c r="F11" s="57" t="str">
        <x:v>OLTP: Show and editable; initial FALSE; searchable; OLAP: loaded, shown, editable, and searchable</x:v>
      </x:c>
      <x:c r="G11" s="59" t="str">
        <x:v>View-only visibility control for the OLTP primary Borrowers list. OLAP loads the field but no reporting metric, slice, or chart filters on it.</x:v>
      </x:c>
      <x:c r="H11" s="59" t="str">
        <x:v>Stored source column; initial value: FALSE; OLTP display name: "ซ่อนจากรายชื่อผู้กู้ / Hide from Borrowers List"; OLAP display name not configured</x:v>
      </x:c>
    </x:row>
    <x:row r="12" ht="15" customHeight="1">
      <x:c r="A12" s="57" t="str">
        <x:v>Borrowers</x:v>
      </x:c>
      <x:c r="B12" s="57" t="n">
        <x:v>8</x:v>
      </x:c>
      <x:c r="C12" s="59" t="str">
        <x:v>Related Loans</x:v>
      </x:c>
      <x:c r="D12" s="59" t="str">
        <x:v>VC / List</x:v>
      </x:c>
      <x:c r="E12" s="57" t="str">
        <x:v>OLTP + OLAP</x:v>
      </x:c>
      <x:c r="F12" s="57" t="str">
        <x:v>-</x:v>
      </x:c>
      <x:c r="G12" s="59" t="str">
        <x:v>Reverse-reference list of child rows that point to this record.</x:v>
      </x:c>
      <x:c r="H12" s="59" t="str">
        <x:v>REF_ROWS("Loans", "Ref Borrowers")</x:v>
      </x:c>
    </x:row>
    <x:row r="13" ht="15" customHeight="1">
      <x:c r="A13" s="57" t="str">
        <x:v>Borrowers</x:v>
      </x:c>
      <x:c r="B13" s="57" t="n">
        <x:v>9</x:v>
      </x:c>
      <x:c r="C13" s="59" t="str">
        <x:v>Total Interest Earned</x:v>
      </x:c>
      <x:c r="D13" s="59" t="str">
        <x:v>VC / Price</x:v>
      </x:c>
      <x:c r="E13" s="57" t="str">
        <x:v>OLTP + OLAP</x:v>
      </x:c>
      <x:c r="F13" s="57" t="str">
        <x:v>-</x:v>
      </x:c>
      <x:c r="G13" s="59" t="str">
        <x:v>Derived financial aggregate or balance for operational or analytical use.</x:v>
      </x:c>
      <x:c r="H13" s="59" t="str">
        <x:v>SUM([Related Loans][Total Interest Received])</x:v>
      </x:c>
    </x:row>
    <x:row r="14" ht="15" customHeight="1">
      <x:c r="A14" s="57" t="str">
        <x:v>Borrowers</x:v>
      </x:c>
      <x:c r="B14" s="57" t="n">
        <x:v>10</x:v>
      </x:c>
      <x:c r="C14" s="59" t="str">
        <x:v>Total Amount Loaned</x:v>
      </x:c>
      <x:c r="D14" s="59" t="str">
        <x:v>VC / Price</x:v>
      </x:c>
      <x:c r="E14" s="57" t="str">
        <x:v>OLTP + OLAP</x:v>
      </x:c>
      <x:c r="F14" s="57" t="str">
        <x:v>-</x:v>
      </x:c>
      <x:c r="G14" s="59" t="str">
        <x:v>Derived financial aggregate or balance for operational or analytical use.</x:v>
      </x:c>
      <x:c r="H14" s="59" t="str">
        <x:v>SUM([Related Loans][Principal Amount])</x:v>
      </x:c>
    </x:row>
    <x:row r="15" ht="15" customHeight="1">
      <x:c r="A15" s="57" t="str">
        <x:v>Borrowers</x:v>
      </x:c>
      <x:c r="B15" s="57" t="n">
        <x:v>11</x:v>
      </x:c>
      <x:c r="C15" s="59" t="str">
        <x:v>Total Number of Loans</x:v>
      </x:c>
      <x:c r="D15" s="59" t="str">
        <x:v>VC / Number</x:v>
      </x:c>
      <x:c r="E15" s="57" t="str">
        <x:v>OLTP + OLAP</x:v>
      </x:c>
      <x:c r="F15" s="57" t="str">
        <x:v>-</x:v>
      </x:c>
      <x:c r="G15" s="59" t="str">
        <x:v>Derived count used for workload, portfolio, or risk analysis.</x:v>
      </x:c>
      <x:c r="H15" s="59" t="str">
        <x:v>COUNT([Related Loans])</x:v>
      </x:c>
    </x:row>
    <x:row r="16" ht="15" customHeight="1">
      <x:c r="A16" s="57" t="str">
        <x:v>Borrowers</x:v>
      </x:c>
      <x:c r="B16" s="57" t="n">
        <x:v>12</x:v>
      </x:c>
      <x:c r="C16" s="59" t="str">
        <x:v>Total Outstanding Principal</x:v>
      </x:c>
      <x:c r="D16" s="59" t="str">
        <x:v>VC / Price</x:v>
      </x:c>
      <x:c r="E16" s="57" t="str">
        <x:v>OLTP + OLAP</x:v>
      </x:c>
      <x:c r="F16" s="57" t="str">
        <x:v>-</x:v>
      </x:c>
      <x:c r="G16" s="59" t="str">
        <x:v>Derived financial aggregate or balance for operational or analytical use.</x:v>
      </x:c>
      <x:c r="H16" s="59" t="str">
        <x:v>SUM([Related Loans][Outstanding Principal])</x:v>
      </x:c>
    </x:row>
    <x:row r="17" ht="15" customHeight="1">
      <x:c r="A17" s="57" t="str">
        <x:v>Borrowers</x:v>
      </x:c>
      <x:c r="B17" s="57" t="n">
        <x:v>13</x:v>
      </x:c>
      <x:c r="C17" s="59" t="str">
        <x:v>Header - Active Loans</x:v>
      </x:c>
      <x:c r="D17" s="59" t="str">
        <x:v>VC / Text</x:v>
      </x:c>
      <x:c r="E17" s="57" t="str">
        <x:v>OLTP + OLAP</x:v>
      </x:c>
      <x:c r="F17" s="57" t="str">
        <x:v>-</x:v>
      </x:c>
      <x:c r="G17" s="59" t="str">
        <x:v>Presentation-oriented label or bilingual display value.</x:v>
      </x:c>
      <x:c r="H17" s="59" t="str">
        <x:v>"──── เงินกู้ที่ยังไม่ปิด / Active Loans ────"</x:v>
      </x:c>
    </x:row>
    <x:row r="18" ht="43.20000076293945" customHeight="1">
      <x:c r="A18" s="57" t="str">
        <x:v>Borrowers</x:v>
      </x:c>
      <x:c r="B18" s="57" t="n">
        <x:v>14</x:v>
      </x:c>
      <x:c r="C18" s="59" t="str">
        <x:v>Borrower Name TE</x:v>
      </x:c>
      <x:c r="D18" s="59" t="str">
        <x:v>VC / Text</x:v>
      </x:c>
      <x:c r="E18" s="57" t="str">
        <x:v>OLTP + OLAP</x:v>
      </x:c>
      <x:c r="F18" s="57" t="str">
        <x:v>Label</x:v>
      </x:c>
      <x:c r="G18" s="59" t="str">
        <x:v>Presentation-oriented label or bilingual display value.</x:v>
      </x:c>
      <x:c r="H18" s="59" t="str">
        <x:v>CONCATENATE([Borrower Name], " - ", [Description])</x:v>
      </x:c>
    </x:row>
    <x:row r="19" ht="21.600000381469727" customHeight="1">
      <x:c r="A19" s="57" t="str">
        <x:v>Borrowers</x:v>
      </x:c>
      <x:c r="B19" s="57" t="n">
        <x:v>15</x:v>
      </x:c>
      <x:c r="C19" s="59" t="str">
        <x:v>Return on Active Principal</x:v>
      </x:c>
      <x:c r="D19" s="59" t="str">
        <x:v>VC / Percent</x:v>
      </x:c>
      <x:c r="E19" s="57" t="str">
        <x:v>OLTP + OLAP</x:v>
      </x:c>
      <x:c r="F19" s="57" t="str">
        <x:v>-</x:v>
      </x:c>
      <x:c r="G19" s="59" t="str">
        <x:v>Derived ratio or performance measure calculated from governed source values.</x:v>
      </x:c>
      <x:c r="H19" s="59" t="str">
        <x:v>IF([Total Outstanding Principal] &gt; 0, [Active Loan Interest Earned] / [Total Outstanding Principal], 0)</x:v>
      </x:c>
    </x:row>
    <x:row r="20" ht="15" customHeight="1">
      <x:c r="A20" s="57" t="str">
        <x:v>Borrowers</x:v>
      </x:c>
      <x:c r="B20" s="57" t="n">
        <x:v>16</x:v>
      </x:c>
      <x:c r="C20" s="59" t="str">
        <x:v>Profit Last 30 Days</x:v>
      </x:c>
      <x:c r="D20" s="59" t="str">
        <x:v>VC / Price</x:v>
      </x:c>
      <x:c r="E20" s="57" t="str">
        <x:v>OLAP only</x:v>
      </x:c>
      <x:c r="F20" s="57" t="str">
        <x:v>-</x:v>
      </x:c>
      <x:c r="G20" s="59" t="str">
        <x:v>Derived date, time-window, age, or delinquency measure.</x:v>
      </x:c>
      <x:c r="H20" s="59" t="str">
        <x:v>SUM( SELECT( Repayments[Interest Paid], AND( [Ref Loans].[Ref Borrowers] = [_THISROW].[Row ID], [Payment Date] &gt;= TODAY() - 29, [Payment Date] &lt;= TODAY(), [Interest Paid] &gt; 0 ) ))</x:v>
      </x:c>
    </x:row>
    <x:row r="21" ht="21.600000381469727" customHeight="1">
      <x:c r="A21" s="57" t="str">
        <x:v>Borrowers</x:v>
      </x:c>
      <x:c r="B21" s="57" t="n">
        <x:v>17</x:v>
      </x:c>
      <x:c r="C21" s="59" t="str">
        <x:v>Active Loan Interest Earned</x:v>
      </x:c>
      <x:c r="D21" s="59" t="str">
        <x:v>VC / Price</x:v>
      </x:c>
      <x:c r="E21" s="57" t="str">
        <x:v>OLTP + OLAP</x:v>
      </x:c>
      <x:c r="F21" s="57" t="str">
        <x:v>-</x:v>
      </x:c>
      <x:c r="G21" s="59" t="str">
        <x:v>Derived financial aggregate or balance for operational or analytical use.</x:v>
      </x:c>
      <x:c r="H21" s="59" t="str">
        <x:v>SUM( SELECT( Loans[Total Interest Received], AND([Ref Borrowers] = [_THISROW].[Row ID], [Loan Status] = "ยังไม่ปิดยอด") ))</x:v>
      </x:c>
    </x:row>
    <x:row r="22" ht="32.400001525878906" customHeight="1">
      <x:c r="A22" s="57" t="str">
        <x:v>Borrowers</x:v>
      </x:c>
      <x:c r="B22" s="57" t="n">
        <x:v>18</x:v>
      </x:c>
      <x:c r="C22" s="59" t="str">
        <x:v>Active Daily Interest</x:v>
      </x:c>
      <x:c r="D22" s="59" t="str">
        <x:v>VC / Price</x:v>
      </x:c>
      <x:c r="E22" s="57" t="str">
        <x:v>OLTP + OLAP</x:v>
      </x:c>
      <x:c r="F22" s="57" t="str">
        <x:v>-</x:v>
      </x:c>
      <x:c r="G22" s="59" t="str">
        <x:v>Derived financial aggregate or balance for operational or analytical use.</x:v>
      </x:c>
      <x:c r="H22" s="59" t="str">
        <x:v>SUM(SELECT(Loans[Expected Daily Interest Amount], [Ref Borrowers] = [_THISROW].[Row ID]))</x:v>
      </x:c>
    </x:row>
    <x:row r="23" ht="15" customHeight="1">
      <x:c r="A23" s="57" t="str">
        <x:v>Borrowers</x:v>
      </x:c>
      <x:c r="B23" s="57" t="n">
        <x:v>19</x:v>
      </x:c>
      <x:c r="C23" s="59" t="str">
        <x:v>Projected Interest Coverage Date</x:v>
      </x:c>
      <x:c r="D23" s="59" t="str">
        <x:v>VC / Date</x:v>
      </x:c>
      <x:c r="E23" s="57" t="str">
        <x:v>OLTP + OLAP</x:v>
      </x:c>
      <x:c r="F23" s="57" t="str">
        <x:v>-</x:v>
      </x:c>
      <x:c r="G23" s="59" t="str">
        <x:v>Derived ratio or performance measure calculated from governed source values.</x:v>
      </x:c>
      <x:c r="H23" s="59" t="str">
        <x:v>IFS( [Total Outstanding Principal] &lt;= 0, "", [Active Loan Interest Earned] &gt;= [Total Outstanding Principal], TODAY(), [Active Daily Interest] &gt; 0, TODAY() + CEILING( ( [Total Outstanding Principal] - [Active Loan Interest Earned] ) / [Active Daily Interest] ), TRUE, "")</x:v>
      </x:c>
    </x:row>
    <x:row r="24" ht="15" customHeight="1">
      <x:c r="A24" s="57" t="str">
        <x:v>Borrowers</x:v>
      </x:c>
      <x:c r="B24" s="57" t="n">
        <x:v>20</x:v>
      </x:c>
      <x:c r="C24" s="59" t="str">
        <x:v>Related Loan Assessments</x:v>
      </x:c>
      <x:c r="D24" s="59" t="str">
        <x:v>VC / List</x:v>
      </x:c>
      <x:c r="E24" s="57" t="str">
        <x:v>OLAP only</x:v>
      </x:c>
      <x:c r="F24" s="57" t="str">
        <x:v>-</x:v>
      </x:c>
      <x:c r="G24" s="59" t="str">
        <x:v>Reverse-reference list of child rows that point to this record.</x:v>
      </x:c>
      <x:c r="H24" s="59" t="str">
        <x:v>REF_ROWS("Loan Assessment", "Ref Borrower")</x:v>
      </x:c>
    </x:row>
    <x:row r="25" ht="15" customHeight="1">
      <x:c r="A25" s="57" t="str">
        <x:v>Borrowers</x:v>
      </x:c>
      <x:c r="B25" s="57" t="n">
        <x:v>21</x:v>
      </x:c>
      <x:c r="C25" s="59" t="str">
        <x:v>Related Calendars</x:v>
      </x:c>
      <x:c r="D25" s="59" t="str">
        <x:v>VC / List</x:v>
      </x:c>
      <x:c r="E25" s="57" t="str">
        <x:v>OLAP only</x:v>
      </x:c>
      <x:c r="F25" s="57" t="str">
        <x:v>-</x:v>
      </x:c>
      <x:c r="G25" s="59" t="str">
        <x:v>Reverse-reference list of child rows that point to this record.</x:v>
      </x:c>
      <x:c r="H25" s="59" t="str">
        <x:v>REF_ROWS("Calendar", "Assessment Borrower")</x:v>
      </x:c>
    </x:row>
    <x:row r="26" ht="15" customHeight="1">
      <x:c r="A26" s="57" t="str">
        <x:v>Borrowers</x:v>
      </x:c>
      <x:c r="B26" s="57" t="n">
        <x:v>22</x:v>
      </x:c>
      <x:c r="C26" s="59" t="str">
        <x:v>Closed Loan Interest Earned</x:v>
      </x:c>
      <x:c r="D26" s="59" t="str">
        <x:v>VC / Price</x:v>
      </x:c>
      <x:c r="E26" s="57" t="str">
        <x:v>OLTP + OLAP</x:v>
      </x:c>
      <x:c r="F26" s="57" t="str">
        <x:v>-</x:v>
      </x:c>
      <x:c r="G26" s="59" t="str">
        <x:v>Derived financial aggregate or balance for operational or analytical use.</x:v>
      </x:c>
      <x:c r="H26" s="59" t="str">
        <x:v>[Total Interest Earned] - [Active Loan Interest Earned]</x:v>
      </x:c>
    </x:row>
    <x:row r="27" ht="15" customHeight="1">
      <x:c r="A27" s="57" t="str">
        <x:v>Borrowers</x:v>
      </x:c>
      <x:c r="B27" s="57" t="n">
        <x:v>23</x:v>
      </x:c>
      <x:c r="C27" s="59" t="str">
        <x:v>Closed Loan Principle</x:v>
      </x:c>
      <x:c r="D27" s="59" t="str">
        <x:v>VC / Price</x:v>
      </x:c>
      <x:c r="E27" s="57" t="str">
        <x:v>OLTP + OLAP</x:v>
      </x:c>
      <x:c r="F27" s="57" t="str">
        <x:v>-</x:v>
      </x:c>
      <x:c r="G27" s="59" t="str">
        <x:v>Derived AppSheet value used by the app workflow, presentation, or reporting model.</x:v>
      </x:c>
      <x:c r="H27" s="59" t="str">
        <x:v>[Total Amount Loaned] - [Total Outstanding Principal]</x:v>
      </x:c>
    </x:row>
    <x:row r="28" ht="15" customHeight="1">
      <x:c r="A28" s="57" t="str">
        <x:v>Borrowers</x:v>
      </x:c>
      <x:c r="B28" s="57" t="n">
        <x:v>24</x:v>
      </x:c>
      <x:c r="C28" s="59" t="str">
        <x:v>Has Closed Loan</x:v>
      </x:c>
      <x:c r="D28" s="59" t="str">
        <x:v>VC / Yes/No</x:v>
      </x:c>
      <x:c r="E28" s="57" t="str">
        <x:v>OLTP + OLAP</x:v>
      </x:c>
      <x:c r="F28" s="57" t="str">
        <x:v>-</x:v>
      </x:c>
      <x:c r="G28" s="59" t="str">
        <x:v>Derived business-state or risk indicator.</x:v>
      </x:c>
      <x:c r="H28" s="59" t="str">
        <x:v>COUNT(SELECT([Related Loans][Row ID], [Loan Status] = "ปิดยอดแล้ว")) &gt; 0</x:v>
      </x:c>
    </x:row>
    <x:row r="29" ht="15" customHeight="1">
      <x:c r="A29" s="57" t="str">
        <x:v>Borrowers</x:v>
      </x:c>
      <x:c r="B29" s="57" t="n">
        <x:v>25</x:v>
      </x:c>
      <x:c r="C29" s="59" t="str">
        <x:v>Return on Closed Loans</x:v>
      </x:c>
      <x:c r="D29" s="59" t="str">
        <x:v>VC / Percent</x:v>
      </x:c>
      <x:c r="E29" s="57" t="str">
        <x:v>OLTP + OLAP</x:v>
      </x:c>
      <x:c r="F29" s="57" t="str">
        <x:v>-</x:v>
      </x:c>
      <x:c r="G29" s="59" t="str">
        <x:v>Derived ratio or performance measure calculated from governed source values.</x:v>
      </x:c>
      <x:c r="H29" s="59" t="str">
        <x:v>IF( AND([Has Closed Loan], [Closed Loan Principle] &gt; 0), [Closed Loan Interest Earned] / [Closed Loan Principle], 0)</x:v>
      </x:c>
    </x:row>
    <x:row r="30" ht="15" customHeight="1">
      <x:c r="A30" s="57" t="str">
        <x:v>Borrowers</x:v>
      </x:c>
      <x:c r="B30" s="57" t="n">
        <x:v>26</x:v>
      </x:c>
      <x:c r="C30" s="59" t="str">
        <x:v>Header - Closed Loans</x:v>
      </x:c>
      <x:c r="D30" s="59" t="str">
        <x:v>VC / Text</x:v>
      </x:c>
      <x:c r="E30" s="57" t="str">
        <x:v>OLTP + OLAP</x:v>
      </x:c>
      <x:c r="F30" s="57" t="str">
        <x:v>-</x:v>
      </x:c>
      <x:c r="G30" s="59" t="str">
        <x:v>Presentation-oriented label or bilingual display value.</x:v>
      </x:c>
      <x:c r="H30" s="59" t="str">
        <x:v>"──── เงินกู้ที่ปิดแล้ว / Closed Loans ────"</x:v>
      </x:c>
    </x:row>
    <x:row r="31" ht="15" customHeight="1">
      <x:c r="A31" s="57" t="str">
        <x:v>Borrowers</x:v>
      </x:c>
      <x:c r="B31" s="57" t="n">
        <x:v>27</x:v>
      </x:c>
      <x:c r="C31" s="59" t="str">
        <x:v>Has Active Loan</x:v>
      </x:c>
      <x:c r="D31" s="59" t="str">
        <x:v>VC / Yes/No</x:v>
      </x:c>
      <x:c r="E31" s="57" t="str">
        <x:v>OLTP + OLAP</x:v>
      </x:c>
      <x:c r="F31" s="57" t="str">
        <x:v>-</x:v>
      </x:c>
      <x:c r="G31" s="59" t="str">
        <x:v>Derived business-state or risk indicator.</x:v>
      </x:c>
      <x:c r="H31" s="59" t="str">
        <x:v>COUNT(SELECT([Related Loans][Row ID], [Loan Status] = "ยังไม่ปิดยอด")) &gt; 0</x:v>
      </x:c>
    </x:row>
    <x:row r="32" ht="15" customHeight="1">
      <x:c r="A32" s="57" t="str">
        <x:v>Borrowers</x:v>
      </x:c>
      <x:c r="B32" s="57" t="n">
        <x:v>28</x:v>
      </x:c>
      <x:c r="C32" s="59" t="str">
        <x:v>30D Gross Principal Days</x:v>
      </x:c>
      <x:c r="D32" s="59" t="str">
        <x:v>VC / Decimal</x:v>
      </x:c>
      <x:c r="E32" s="57" t="str">
        <x:v>OLAP only</x:v>
      </x:c>
      <x:c r="F32" s="57" t="str">
        <x:v>-</x:v>
      </x:c>
      <x:c r="G32" s="59" t="str">
        <x:v>Derived date, time-window, age, or delinquency measure.</x:v>
      </x:c>
      <x:c r="H32" s="59" t="str">
        <x:v>SUM( SELECT( Loans[30D Principal Days], [Ref Borrowers] = [_THISROW].[Row ID] ))</x:v>
      </x:c>
    </x:row>
    <x:row r="33" ht="15" customHeight="1">
      <x:c r="A33" s="57" t="str">
        <x:v>Borrowers</x:v>
      </x:c>
      <x:c r="B33" s="57" t="n">
        <x:v>29</x:v>
      </x:c>
      <x:c r="C33" s="59" t="str">
        <x:v>30D Principal Reduction Days</x:v>
      </x:c>
      <x:c r="D33" s="59" t="str">
        <x:v>VC / Decimal</x:v>
      </x:c>
      <x:c r="E33" s="57" t="str">
        <x:v>OLAP only</x:v>
      </x:c>
      <x:c r="F33" s="57" t="str">
        <x:v>-</x:v>
      </x:c>
      <x:c r="G33" s="59" t="str">
        <x:v>Derived date, time-window, age, or delinquency measure.</x:v>
      </x:c>
      <x:c r="H33" s="59" t="str">
        <x:v>SUM( SELECT( Repayments[30D Principal Reduction Days], [Ref Loans].[Ref Borrowers] = [_THISROW].[Row ID] ))</x:v>
      </x:c>
    </x:row>
    <x:row r="34" ht="15" customHeight="1">
      <x:c r="A34" s="57" t="str">
        <x:v>Borrowers</x:v>
      </x:c>
      <x:c r="B34" s="57" t="n">
        <x:v>30</x:v>
      </x:c>
      <x:c r="C34" s="59" t="str">
        <x:v>30D Average Outstanding Principal</x:v>
      </x:c>
      <x:c r="D34" s="59" t="str">
        <x:v>VC / Decimal</x:v>
      </x:c>
      <x:c r="E34" s="57" t="str">
        <x:v>OLAP only</x:v>
      </x:c>
      <x:c r="F34" s="57" t="str">
        <x:v>-</x:v>
      </x:c>
      <x:c r="G34" s="59" t="str">
        <x:v>Derived date, time-window, age, or delinquency measure.</x:v>
      </x:c>
      <x:c r="H34" s="59" t="str">
        <x:v>( [30D Gross Principal Days] - [30D Principal Reduction Days] ) / 30</x:v>
      </x:c>
    </x:row>
    <x:row r="35" ht="75.5999984741211" customHeight="1">
      <x:c r="A35" s="57" t="str">
        <x:v>Borrowers</x:v>
      </x:c>
      <x:c r="B35" s="57" t="n">
        <x:v>31</x:v>
      </x:c>
      <x:c r="C35" s="59" t="str">
        <x:v>30D Return on Average Principal</x:v>
      </x:c>
      <x:c r="D35" s="59" t="str">
        <x:v>VC / Percent</x:v>
      </x:c>
      <x:c r="E35" s="57" t="str">
        <x:v>OLAP only</x:v>
      </x:c>
      <x:c r="F35" s="57" t="str">
        <x:v>-</x:v>
      </x:c>
      <x:c r="G35" s="59" t="str">
        <x:v>Derived ratio or performance measure calculated from governed source values.</x:v>
      </x:c>
      <x:c r="H35" s="59" t="str">
        <x:v>IF( [30D Average Outstanding Principal] &gt; 0, [Profit Last 30 Days] / [30D Average Outstanding Principal], 0)</x:v>
      </x:c>
    </x:row>
    <x:row r="36" ht="21.600000381469727" customHeight="1">
      <x:c r="A36" s="57" t="str">
        <x:v>Borrowers</x:v>
      </x:c>
      <x:c r="B36" s="57" t="n">
        <x:v>32</x:v>
      </x:c>
      <x:c r="C36" s="59" t="str">
        <x:v>Daily Collection Status</x:v>
      </x:c>
      <x:c r="D36" s="59" t="str">
        <x:v>VC / Text</x:v>
      </x:c>
      <x:c r="E36" s="57" t="str">
        <x:v>OLTP + OLAP</x:v>
      </x:c>
      <x:c r="F36" s="57" t="str">
        <x:v>-</x:v>
      </x:c>
      <x:c r="G36" s="59" t="str">
        <x:v>Derived business-state or risk indicator.</x:v>
      </x:c>
      <x:c r="H36" s="59" t="str">
        <x:v>IFS( COUNT([Todays Collection Charges]) = 0, "", COUNT( SELECT( Charges[Row ID], AND( IN([Row ID], [_THISROW].[Todays Collection Charges]), [Charge Date] &lt; TODAY(), [Payment Status] &lt;&gt; "ชำระแล้ว" ) ) ) &gt; 0, "Overdue", AND( NOT(IN("รอชำระ", [Todays Collection Charges][Payment Status])), NOT(IN("ชำระบางส่วน", [Todays Collection Charges][Payment Status])) ), "Fully Paid", OR( IN("ชำระบางส่วน", [Todays Collection Charges][Payment Status]), AND( IN("ชำระแล้ว", [Todays Collection Charges][Payment Status]), IN("รอชำระ", [Todays Collection Charges][Payment Status]) ) ), "Partially Paid", TRUE, "Not Paid")</x:v>
      </x:c>
    </x:row>
    <x:row r="37" ht="15" customHeight="1">
      <x:c r="A37" s="57" t="str">
        <x:v>Borrowers</x:v>
      </x:c>
      <x:c r="B37" s="57" t="n">
        <x:v>33</x:v>
      </x:c>
      <x:c r="C37" s="59" t="str">
        <x:v>Todays Collection Charges</x:v>
      </x:c>
      <x:c r="D37" s="59" t="str">
        <x:v>VC / List</x:v>
      </x:c>
      <x:c r="E37" s="57" t="str">
        <x:v>OLTP + OLAP</x:v>
      </x:c>
      <x:c r="F37" s="57" t="str">
        <x:v>-</x:v>
      </x:c>
      <x:c r="G37" s="59" t="str">
        <x:v>Derived date, time-window, age, or delinquency measure.</x:v>
      </x:c>
      <x:c r="H37" s="59" t="str">
        <x:v>SELECT( Charges[Row ID], AND( [Ref Loans].[Ref Borrowers] = [_THISROW].[Row ID], OR( AND( [Payment Status] &lt;&gt; "ชำระแล้ว", [Charge Date] &lt;= TODAY() ), AND( [Payment Status] = "ชำระแล้ว", [Payment Date] = TODAY() ) ) ))</x:v>
      </x:c>
    </x:row>
    <x:row r="38" ht="15" customHeight="1">
      <x:c r="A38" s="57" t="str">
        <x:v>Borrowers</x:v>
      </x:c>
      <x:c r="B38" s="57" t="n">
        <x:v>34</x:v>
      </x:c>
      <x:c r="C38" s="59" t="str">
        <x:v>Todays Amount Due</x:v>
      </x:c>
      <x:c r="D38" s="59" t="str">
        <x:v>VC / Price</x:v>
      </x:c>
      <x:c r="E38" s="57" t="str">
        <x:v>OLTP + OLAP</x:v>
      </x:c>
      <x:c r="F38" s="57" t="str">
        <x:v>-</x:v>
      </x:c>
      <x:c r="G38" s="59" t="str">
        <x:v>Derived date, time-window, age, or delinquency measure.</x:v>
      </x:c>
      <x:c r="H38" s="59" t="str">
        <x:v>SUM([Todays Collection Charges][Amount Due])</x:v>
      </x:c>
    </x:row>
    <x:row r="39" ht="15" customHeight="1">
      <x:c r="A39" s="57" t="str">
        <x:v>Borrowers</x:v>
      </x:c>
      <x:c r="B39" s="57" t="n">
        <x:v>35</x:v>
      </x:c>
      <x:c r="C39" s="59" t="str">
        <x:v>Todays Amount Collected</x:v>
      </x:c>
      <x:c r="D39" s="59" t="str">
        <x:v>VC / Price</x:v>
      </x:c>
      <x:c r="E39" s="57" t="str">
        <x:v>OLTP + OLAP</x:v>
      </x:c>
      <x:c r="F39" s="57" t="str">
        <x:v>Intentional formula variance</x:v>
      </x:c>
      <x:c r="G39" s="59" t="str">
        <x:v>OLTP uses payments dated today; OLAP retains the cumulative paid amount.</x:v>
      </x:c>
      <x:c r="H39" s="59" t="str">
        <x:v>OLTP: SUM([Todays Collection Charges][Payment Received Today]); OLAP: SUM([Todays Collection Charges][Total Paid])</x:v>
      </x:c>
    </x:row>
    <x:row r="40" ht="21.600000381469727" customHeight="1">
      <x:c r="A40" s="57" t="str">
        <x:v>Borrowers</x:v>
      </x:c>
      <x:c r="B40" s="57" t="n">
        <x:v>36</x:v>
      </x:c>
      <x:c r="C40" s="59" t="str">
        <x:v>Todays Amount Remaining</x:v>
      </x:c>
      <x:c r="D40" s="59" t="str">
        <x:v>VC / Price</x:v>
      </x:c>
      <x:c r="E40" s="57" t="str">
        <x:v>OLTP + OLAP</x:v>
      </x:c>
      <x:c r="F40" s="57" t="str">
        <x:v>-</x:v>
      </x:c>
      <x:c r="G40" s="59" t="str">
        <x:v>Derived date, time-window, age, or delinquency measure.</x:v>
      </x:c>
      <x:c r="H40" s="59" t="str">
        <x:v>SUM([Todays Collection Charges][Amount Remaining])</x:v>
      </x:c>
    </x:row>
    <x:row r="41" ht="15" customHeight="1">
      <x:c r="A41" s="57" t="str">
        <x:v>Borrowers</x:v>
      </x:c>
      <x:c r="B41" s="57" t="n">
        <x:v>37</x:v>
      </x:c>
      <x:c r="C41" s="59" t="str">
        <x:v>Portfolio Exposure %</x:v>
      </x:c>
      <x:c r="D41" s="59" t="str">
        <x:v>VC / Percent</x:v>
      </x:c>
      <x:c r="E41" s="57" t="str">
        <x:v>OLAP only</x:v>
      </x:c>
      <x:c r="F41" s="57" t="str">
        <x:v>-</x:v>
      </x:c>
      <x:c r="G41" s="59" t="str">
        <x:v>Derived ratio or performance measure calculated from governed source values.</x:v>
      </x:c>
      <x:c r="H41" s="59" t="str">
        <x:v>IF( SUM(Borrowers[Total Outstanding Principal]) = 0, 0, [Total Outstanding Principal] / SUM(Borrowers[Total Outstanding Principal]))</x:v>
      </x:c>
    </x:row>
    <x:row r="42" ht="15" customHeight="1">
      <x:c r="A42" s="57" t="str">
        <x:v>Borrowers</x:v>
      </x:c>
      <x:c r="B42" s="57" t="n">
        <x:v>38</x:v>
      </x:c>
      <x:c r="C42" s="59" t="str">
        <x:v>Active Loan Count</x:v>
      </x:c>
      <x:c r="D42" s="59" t="str">
        <x:v>VC / Number</x:v>
      </x:c>
      <x:c r="E42" s="57" t="str">
        <x:v>OLAP only</x:v>
      </x:c>
      <x:c r="F42" s="57" t="str">
        <x:v>-</x:v>
      </x:c>
      <x:c r="G42" s="59" t="str">
        <x:v>Derived count used for workload, portfolio, or risk analysis.</x:v>
      </x:c>
      <x:c r="H42" s="59" t="str">
        <x:v>COUNT( SELECT( Loans[Row ID], AND([Ref Borrowers] = [_THISROW].[Row ID], [Loan Status] = "ยังไม่ปิดยอด") ))</x:v>
      </x:c>
    </x:row>
    <x:row r="43" ht="21.600000381469727" customHeight="1">
      <x:c r="A43" s="57" t="str">
        <x:v>Borrowers</x:v>
      </x:c>
      <x:c r="B43" s="57" t="n">
        <x:v>39</x:v>
      </x:c>
      <x:c r="C43" s="59" t="str">
        <x:v>Oldest Active Loan Age</x:v>
      </x:c>
      <x:c r="D43" s="59" t="str">
        <x:v>VC / Number</x:v>
      </x:c>
      <x:c r="E43" s="57" t="str">
        <x:v>OLAP only</x:v>
      </x:c>
      <x:c r="F43" s="57" t="str">
        <x:v>-</x:v>
      </x:c>
      <x:c r="G43" s="59" t="str">
        <x:v>Derived date, time-window, age, or delinquency measure.</x:v>
      </x:c>
      <x:c r="H43" s="59" t="str">
        <x:v>MAX( SELECT( Loans[Loan Age Days], AND([Ref Borrowers] = [_THISROW].[Row ID], [Loan Status] = "ยังไม่ปิดยอด") ))</x:v>
      </x:c>
    </x:row>
    <x:row r="44" ht="21.600000381469727" customHeight="1">
      <x:c r="A44" s="57" t="str">
        <x:v>Borrowers</x:v>
      </x:c>
      <x:c r="B44" s="57" t="n">
        <x:v>40</x:v>
      </x:c>
      <x:c r="C44" s="59" t="str">
        <x:v>Overdue Amount</x:v>
      </x:c>
      <x:c r="D44" s="59" t="str">
        <x:v>VC / Price</x:v>
      </x:c>
      <x:c r="E44" s="57" t="str">
        <x:v>OLAP only</x:v>
      </x:c>
      <x:c r="F44" s="57" t="str">
        <x:v>-</x:v>
      </x:c>
      <x:c r="G44" s="59" t="str">
        <x:v>Derived financial aggregate or balance for operational or analytical use.</x:v>
      </x:c>
      <x:c r="H44" s="59" t="str">
        <x:v>SUM( SELECT( Charges[Amount Remaining], AND( [Ref Loans].[Ref Borrowers] = [_THISROW].[Row ID], [Charge Date] &lt; TODAY(), [Payment Status] &lt;&gt; "ชำระแล้ว" ) ))</x:v>
      </x:c>
    </x:row>
    <x:row r="45" ht="15" customHeight="1">
      <x:c r="A45" s="57" t="str">
        <x:v>Borrowers</x:v>
      </x:c>
      <x:c r="B45" s="57" t="n">
        <x:v>41</x:v>
      </x:c>
      <x:c r="C45" s="59" t="str">
        <x:v>Overdue Charge Count</x:v>
      </x:c>
      <x:c r="D45" s="59" t="str">
        <x:v>VC / Number</x:v>
      </x:c>
      <x:c r="E45" s="57" t="str">
        <x:v>OLAP only</x:v>
      </x:c>
      <x:c r="F45" s="57" t="str">
        <x:v>-</x:v>
      </x:c>
      <x:c r="G45" s="59" t="str">
        <x:v>Derived count used for workload, portfolio, or risk analysis.</x:v>
      </x:c>
      <x:c r="H45" s="59" t="str">
        <x:v>COUNT( SELECT( Charges[Row ID], AND( [Ref Loans].[Ref Borrowers] = [_THISROW].[Row ID], [Charge Date] &lt; TODAY(), [Payment Status] &lt;&gt; "ชำระแล้ว" ) ))</x:v>
      </x:c>
    </x:row>
    <x:row r="46" ht="15" customHeight="1">
      <x:c r="A46" s="57" t="str">
        <x:v>Borrowers</x:v>
      </x:c>
      <x:c r="B46" s="57" t="n">
        <x:v>42</x:v>
      </x:c>
      <x:c r="C46" s="59" t="str">
        <x:v>Historical Charge Count</x:v>
      </x:c>
      <x:c r="D46" s="59" t="str">
        <x:v>VC / Number</x:v>
      </x:c>
      <x:c r="E46" s="57" t="str">
        <x:v>OLAP only</x:v>
      </x:c>
      <x:c r="F46" s="57" t="str">
        <x:v>-</x:v>
      </x:c>
      <x:c r="G46" s="59" t="str">
        <x:v>Derived count used for workload, portfolio, or risk analysis.</x:v>
      </x:c>
      <x:c r="H46" s="59" t="str">
        <x:v>COUNT(SELECT(Charges[Row ID], AND([Ref Loans].[Ref Borrowers] = [_THISROW].[Row ID], [Charge Date] &lt; TODAY())))</x:v>
      </x:c>
    </x:row>
    <x:row r="47" ht="15" customHeight="1">
      <x:c r="A47" s="57" t="str">
        <x:v>Borrowers</x:v>
      </x:c>
      <x:c r="B47" s="57" t="n">
        <x:v>43</x:v>
      </x:c>
      <x:c r="C47" s="59" t="str">
        <x:v>On Time Charge Count</x:v>
      </x:c>
      <x:c r="D47" s="59" t="str">
        <x:v>VC / Number</x:v>
      </x:c>
      <x:c r="E47" s="57" t="str">
        <x:v>OLAP only</x:v>
      </x:c>
      <x:c r="F47" s="57" t="str">
        <x:v>-</x:v>
      </x:c>
      <x:c r="G47" s="59" t="str">
        <x:v>Derived count used for workload, portfolio, or risk analysis.</x:v>
      </x:c>
      <x:c r="H47" s="59" t="str">
        <x:v>COUNT(SELECT(Charges[Row ID], AND([Ref Loans].[Ref Borrowers] = [_THISROW].[Row ID], [Historical On Time] = TRUE)))</x:v>
      </x:c>
    </x:row>
    <x:row r="48" ht="21.600000381469727" customHeight="1">
      <x:c r="A48" s="57" t="str">
        <x:v>Borrowers</x:v>
      </x:c>
      <x:c r="B48" s="57" t="n">
        <x:v>44</x:v>
      </x:c>
      <x:c r="C48" s="59" t="str">
        <x:v>Lifetime On Time Rate</x:v>
      </x:c>
      <x:c r="D48" s="59" t="str">
        <x:v>VC / Percent</x:v>
      </x:c>
      <x:c r="E48" s="57" t="str">
        <x:v>OLAP only</x:v>
      </x:c>
      <x:c r="F48" s="57" t="str">
        <x:v>-</x:v>
      </x:c>
      <x:c r="G48" s="59" t="str">
        <x:v>Derived ratio or performance measure calculated from governed source values.</x:v>
      </x:c>
      <x:c r="H48" s="59" t="str">
        <x:v>IF([Historical Charge Count] = 0, 0, [On Time Charge Count] / [Historical Charge Count])</x:v>
      </x:c>
    </x:row>
    <x:row r="49" ht="21.600000381469727" customHeight="1">
      <x:c r="A49" s="57" t="str">
        <x:v>Borrowers</x:v>
      </x:c>
      <x:c r="B49" s="57" t="n">
        <x:v>45</x:v>
      </x:c>
      <x:c r="C49" s="59" t="str">
        <x:v>Recent 30D Charge Count</x:v>
      </x:c>
      <x:c r="D49" s="59" t="str">
        <x:v>VC / Number</x:v>
      </x:c>
      <x:c r="E49" s="57" t="str">
        <x:v>OLAP only</x:v>
      </x:c>
      <x:c r="F49" s="57" t="str">
        <x:v>-</x:v>
      </x:c>
      <x:c r="G49" s="59" t="str">
        <x:v>Derived count used for workload, portfolio, or risk analysis.</x:v>
      </x:c>
      <x:c r="H49" s="59" t="str">
        <x:v>COUNT(SELECT(Charges[Row ID], AND([Ref Loans].[Ref Borrowers] = [_THISROW].[Row ID], [Charge Date] &gt;= TODAY() - 30, [Charge Date] &lt; TODAY())))</x:v>
      </x:c>
    </x:row>
    <x:row r="50" ht="15" customHeight="1">
      <x:c r="A50" s="57" t="str">
        <x:v>Borrowers</x:v>
      </x:c>
      <x:c r="B50" s="57" t="n">
        <x:v>46</x:v>
      </x:c>
      <x:c r="C50" s="59" t="str">
        <x:v>Recent 30D On Time Count</x:v>
      </x:c>
      <x:c r="D50" s="59" t="str">
        <x:v>VC / Number</x:v>
      </x:c>
      <x:c r="E50" s="57" t="str">
        <x:v>OLAP only</x:v>
      </x:c>
      <x:c r="F50" s="57" t="str">
        <x:v>-</x:v>
      </x:c>
      <x:c r="G50" s="59" t="str">
        <x:v>Derived count used for workload, portfolio, or risk analysis.</x:v>
      </x:c>
      <x:c r="H50" s="59" t="str">
        <x:v>COUNT(SELECT(Charges[Row ID], AND([Ref Loans].[Ref Borrowers] = [_THISROW].[Row ID], [Charge Date] &gt;= TODAY() - 30, [Charge Date] &lt; TODAY(), [Historical On Time] = TRUE)))</x:v>
      </x:c>
    </x:row>
    <x:row r="51" ht="15" customHeight="1">
      <x:c r="A51" s="57" t="str">
        <x:v>Borrowers</x:v>
      </x:c>
      <x:c r="B51" s="57" t="n">
        <x:v>47</x:v>
      </x:c>
      <x:c r="C51" s="59" t="str">
        <x:v>Recent 30D On Time Rate</x:v>
      </x:c>
      <x:c r="D51" s="59" t="str">
        <x:v>VC / Percent</x:v>
      </x:c>
      <x:c r="E51" s="57" t="str">
        <x:v>OLAP only</x:v>
      </x:c>
      <x:c r="F51" s="57" t="str">
        <x:v>-</x:v>
      </x:c>
      <x:c r="G51" s="59" t="str">
        <x:v>Derived ratio or performance measure calculated from governed source values.</x:v>
      </x:c>
      <x:c r="H51" s="59" t="str">
        <x:v>IF([Recent 30D Charge Count] = 0, 0, [Recent 30D On Time Count] / [Recent 30D Charge Count])</x:v>
      </x:c>
    </x:row>
    <x:row r="52" ht="21.600000381469727" customHeight="1">
      <x:c r="A52" s="57" t="str">
        <x:v>Borrowers</x:v>
      </x:c>
      <x:c r="B52" s="57" t="n">
        <x:v>48</x:v>
      </x:c>
      <x:c r="C52" s="59" t="str">
        <x:v>Lifetime Late Payment Count</x:v>
      </x:c>
      <x:c r="D52" s="59" t="str">
        <x:v>VC / Number</x:v>
      </x:c>
      <x:c r="E52" s="57" t="str">
        <x:v>OLAP only</x:v>
      </x:c>
      <x:c r="F52" s="57" t="str">
        <x:v>-</x:v>
      </x:c>
      <x:c r="G52" s="59" t="str">
        <x:v>Derived count used for workload, portfolio, or risk analysis.</x:v>
      </x:c>
      <x:c r="H52" s="59" t="str">
        <x:v>COUNT(SELECT(Charges[Row ID], AND([Ref Loans].[Ref Borrowers] = [_THISROW].[Row ID], [Historical Late] = TRUE)))</x:v>
      </x:c>
    </x:row>
    <x:row r="53" ht="15" customHeight="1">
      <x:c r="A53" s="57" t="str">
        <x:v>Borrowers</x:v>
      </x:c>
      <x:c r="B53" s="57" t="n">
        <x:v>49</x:v>
      </x:c>
      <x:c r="C53" s="59" t="str">
        <x:v>Recent 30D Late Payment Count</x:v>
      </x:c>
      <x:c r="D53" s="59" t="str">
        <x:v>VC / Number</x:v>
      </x:c>
      <x:c r="E53" s="57" t="str">
        <x:v>OLAP only</x:v>
      </x:c>
      <x:c r="F53" s="57" t="str">
        <x:v>-</x:v>
      </x:c>
      <x:c r="G53" s="59" t="str">
        <x:v>Derived count used for workload, portfolio, or risk analysis.</x:v>
      </x:c>
      <x:c r="H53" s="59" t="str">
        <x:v>COUNT(SELECT(Charges[Row ID], AND([Ref Loans].[Ref Borrowers] = [_THISROW].[Row ID], [Charge Date] &gt;= TODAY() - 30, [Charge Date] &lt; TODAY(), [Historical Late] = TRUE)))</x:v>
      </x:c>
    </x:row>
    <x:row r="54" ht="15" customHeight="1">
      <x:c r="A54" s="57" t="str">
        <x:v>Borrowers</x:v>
      </x:c>
      <x:c r="B54" s="57" t="n">
        <x:v>50</x:v>
      </x:c>
      <x:c r="C54" s="59" t="str">
        <x:v>Maximum Days Late</x:v>
      </x:c>
      <x:c r="D54" s="59" t="str">
        <x:v>VC / Number</x:v>
      </x:c>
      <x:c r="E54" s="57" t="str">
        <x:v>OLAP only</x:v>
      </x:c>
      <x:c r="F54" s="57" t="str">
        <x:v>-</x:v>
      </x:c>
      <x:c r="G54" s="59" t="str">
        <x:v>Derived business-state or risk indicator.</x:v>
      </x:c>
      <x:c r="H54" s="59" t="str">
        <x:v>MAX(LIST(0) + SELECT(Charges[Days Late], [Ref Loans].[Ref Borrowers] = [_THISROW].[Row ID]))</x:v>
      </x:c>
    </x:row>
    <x:row r="55" ht="21.600000381469727" customHeight="1">
      <x:c r="A55" s="57" t="str">
        <x:v>Borrowers</x:v>
      </x:c>
      <x:c r="B55" s="57" t="n">
        <x:v>51</x:v>
      </x:c>
      <x:c r="C55" s="59" t="str">
        <x:v>Last Late Payment Date</x:v>
      </x:c>
      <x:c r="D55" s="59" t="str">
        <x:v>VC / Date</x:v>
      </x:c>
      <x:c r="E55" s="57" t="str">
        <x:v>OLAP only</x:v>
      </x:c>
      <x:c r="F55" s="57" t="str">
        <x:v>-</x:v>
      </x:c>
      <x:c r="G55" s="59" t="str">
        <x:v>Derived business-state or risk indicator.</x:v>
      </x:c>
      <x:c r="H55" s="59" t="str">
        <x:v>MAX(SELECT(Charges[Charge Date], AND([Ref Loans].[Ref Borrowers] = [_THISROW].[Row ID], [Days Late] &gt; 0)))</x:v>
      </x:c>
    </x:row>
    <x:row r="56" ht="32.400001525878906" customHeight="1">
      <x:c r="A56" s="57" t="str">
        <x:v>Borrowers</x:v>
      </x:c>
      <x:c r="B56" s="57" t="n">
        <x:v>52</x:v>
      </x:c>
      <x:c r="C56" s="59" t="str">
        <x:v>Largest Successful Loan</x:v>
      </x:c>
      <x:c r="D56" s="59" t="str">
        <x:v>VC / Price</x:v>
      </x:c>
      <x:c r="E56" s="57" t="str">
        <x:v>OLAP only</x:v>
      </x:c>
      <x:c r="F56" s="57" t="str">
        <x:v>-</x:v>
      </x:c>
      <x:c r="G56" s="59" t="str">
        <x:v>Derived AppSheet value used by the app workflow, presentation, or reporting model.</x:v>
      </x:c>
      <x:c r="H56" s="59" t="str">
        <x:v>MAX(LIST(0) + SELECT(Loans[Principal Amount], AND([Ref Borrowers] = [_THISROW].[Row ID], [Loan Status] = "ปิดยอดแล้ว", [Defaulted] = FALSE)))</x:v>
      </x:c>
    </x:row>
    <x:row r="57" ht="15" customHeight="1">
      <x:c r="A57" s="57" t="str">
        <x:v>Borrowers</x:v>
      </x:c>
      <x:c r="B57" s="57" t="n">
        <x:v>53</x:v>
      </x:c>
      <x:c r="C57" s="59" t="str">
        <x:v>Average Successful Loan Size</x:v>
      </x:c>
      <x:c r="D57" s="59" t="str">
        <x:v>VC / Price</x:v>
      </x:c>
      <x:c r="E57" s="57" t="str">
        <x:v>OLAP only</x:v>
      </x:c>
      <x:c r="F57" s="57" t="str">
        <x:v>-</x:v>
      </x:c>
      <x:c r="G57" s="59" t="str">
        <x:v>Derived date, time-window, age, or delinquency measure.</x:v>
      </x:c>
      <x:c r="H57" s="59" t="str">
        <x:v>IF(COUNT(SELECT(Loans[Row ID], AND([Ref Borrowers] = [_THISROW].[Row ID], [Loan Status] = "ปิดยอดแล้ว", [Defaulted] = FALSE))) = 0, 0, AVERAGE(SELECT(Loans[Principal Amount], AND([Ref Borrowers] = [_THISROW].[Row ID], [Loan Status] = "ปิดยอดแล้ว", [Defaulted] = FALSE))))</x:v>
      </x:c>
    </x:row>
    <x:row r="58" ht="15" customHeight="1">
      <x:c r="A58" s="57" t="str">
        <x:v>Borrowers</x:v>
      </x:c>
      <x:c r="B58" s="57" t="n">
        <x:v>54</x:v>
      </x:c>
      <x:c r="C58" s="59" t="str">
        <x:v>Default Count</x:v>
      </x:c>
      <x:c r="D58" s="59" t="str">
        <x:v>VC / Number</x:v>
      </x:c>
      <x:c r="E58" s="57" t="str">
        <x:v>OLAP only</x:v>
      </x:c>
      <x:c r="F58" s="57" t="str">
        <x:v>-</x:v>
      </x:c>
      <x:c r="G58" s="59" t="str">
        <x:v>Derived count used for workload, portfolio, or risk analysis.</x:v>
      </x:c>
      <x:c r="H58" s="59" t="str">
        <x:v>COUNT(SELECT(Loans[Row ID], AND([Ref Borrowers] = [_THISROW].[Row ID], [Defaulted] = TRUE)))</x:v>
      </x:c>
    </x:row>
    <x:row r="59" ht="15" customHeight="1">
      <x:c r="A59" s="57" t="str">
        <x:v>Borrowers</x:v>
      </x:c>
      <x:c r="B59" s="57" t="n">
        <x:v>55</x:v>
      </x:c>
      <x:c r="C59" s="59" t="str">
        <x:v>Lifetime Default Loss</x:v>
      </x:c>
      <x:c r="D59" s="59" t="str">
        <x:v>VC / Price</x:v>
      </x:c>
      <x:c r="E59" s="57" t="str">
        <x:v>OLAP only</x:v>
      </x:c>
      <x:c r="F59" s="57" t="str">
        <x:v>-</x:v>
      </x:c>
      <x:c r="G59" s="59" t="str">
        <x:v>Derived AppSheet value used by the app workflow, presentation, or reporting model.</x:v>
      </x:c>
      <x:c r="H59" s="59" t="str">
        <x:v>SUM(SELECT(Loans[Default Loss Amount], AND([Ref Borrowers] = [_THISROW].[Row ID], [Defaulted] = TRUE)))</x:v>
      </x:c>
    </x:row>
    <x:row r="60" ht="15" customHeight="1">
      <x:c r="A60" s="57" t="str">
        <x:v>Borrowers</x:v>
      </x:c>
      <x:c r="B60" s="57" t="n">
        <x:v>56</x:v>
      </x:c>
      <x:c r="C60" s="59" t="str">
        <x:v>Portfolio Outstanding Principal</x:v>
      </x:c>
      <x:c r="D60" s="59" t="str">
        <x:v>VC / Price</x:v>
      </x:c>
      <x:c r="E60" s="57" t="str">
        <x:v>OLAP only</x:v>
      </x:c>
      <x:c r="F60" s="57" t="str">
        <x:v>-</x:v>
      </x:c>
      <x:c r="G60" s="59" t="str">
        <x:v>Derived financial aggregate or balance for operational or analytical use.</x:v>
      </x:c>
      <x:c r="H60" s="59" t="str">
        <x:v>SUM(Loans[Outstanding Principal])</x:v>
      </x:c>
    </x:row>
    <x:row r="61" ht="21.600000381469727" customHeight="1">
      <x:c r="A61" s="57" t="str">
        <x:v>Borrowers</x:v>
      </x:c>
      <x:c r="B61" s="57" t="n">
        <x:v>57</x:v>
      </x:c>
      <x:c r="C61" s="59" t="str">
        <x:v>Portfolio Share Join Key</x:v>
      </x:c>
      <x:c r="D61" s="59" t="str">
        <x:v>VC / Text</x:v>
      </x:c>
      <x:c r="E61" s="57" t="str">
        <x:v>OLAP only</x:v>
      </x:c>
      <x:c r="F61" s="57" t="str">
        <x:v>-</x:v>
      </x:c>
      <x:c r="G61" s="59" t="str">
        <x:v>Derived grouping, ordering, or join value used by reporting or app presentation.</x:v>
      </x:c>
      <x:c r="H61" s="59" t="str">
        <x:v>"Portfolio"</x:v>
      </x:c>
    </x:row>
    <x:row r="62" ht="15" customHeight="1">
      <x:c r="A62" s="57" t="str">
        <x:v>Borrowers</x:v>
      </x:c>
      <x:c r="B62" s="57" t="n">
        <x:v>58</x:v>
      </x:c>
      <x:c r="C62" s="59" t="str">
        <x:v>Daily Collection Status - Order</x:v>
      </x:c>
      <x:c r="D62" s="59" t="str">
        <x:v>VC / Text</x:v>
      </x:c>
      <x:c r="E62" s="57" t="str">
        <x:v>OLTP only</x:v>
      </x:c>
      <x:c r="F62" s="57" t="str">
        <x:v>-</x:v>
      </x:c>
      <x:c r="G62" s="59" t="str">
        <x:v>Derived grouping, ordering, or join value used by reporting or app presentation.</x:v>
      </x:c>
      <x:c r="H62" s="59" t="str">
        <x:v>SWITCH( [Daily Collection Status], "Not Paid", "1 - ยังไม่ชำระ Not Paid", "Partially Paid", "2 - ชำระบางส่วน Partially Paid", "Overdue", "3 - เกินกำหนด Overdue", "Fully Paid", "4 - ชำระครบ Fully Paid", "")</x:v>
      </x:c>
    </x:row>
    <x:row r="63" ht="15" customHeight="1">
      <x:c r="A63" s="57" t="str">
        <x:v>Borrowers</x:v>
      </x:c>
      <x:c r="B63" s="57" t="n">
        <x:v>59</x:v>
      </x:c>
      <x:c r="C63" s="59" t="str">
        <x:v>Borrower Name - Collection</x:v>
      </x:c>
      <x:c r="D63" s="59" t="str">
        <x:v>VC / Text</x:v>
      </x:c>
      <x:c r="E63" s="57" t="str">
        <x:v>OLTP only</x:v>
      </x:c>
      <x:c r="F63" s="57" t="str">
        <x:v>-</x:v>
      </x:c>
      <x:c r="G63" s="59" t="str">
        <x:v>Derived AppSheet value used by the app workflow, presentation, or reporting model.</x:v>
      </x:c>
      <x:c r="H63" s="59" t="str">
        <x:v>CONCATENATE([Borrower Name], " - ", [Description])</x:v>
      </x:c>
    </x:row>
    <x:row r="64" ht="15" customHeight="1">
      <x:c r="A64" s="57" t="str">
        <x:v>Borrowers</x:v>
      </x:c>
      <x:c r="B64" s="57" t="n">
        <x:v>60</x:v>
      </x:c>
      <x:c r="C64" s="59" t="str">
        <x:v>Active Profit After Principal Coverage</x:v>
      </x:c>
      <x:c r="D64" s="59" t="str">
        <x:v>VC / Price</x:v>
      </x:c>
      <x:c r="E64" s="57" t="str">
        <x:v>OLTP only</x:v>
      </x:c>
      <x:c r="F64" s="57" t="str">
        <x:v>Show if: [Has Active Loan]; 0 decimals</x:v>
      </x:c>
      <x:c r="G64" s="59" t="str">
        <x:v>Active-loan interest earned after covering current outstanding principal; a hypothetical immediate-default coverage amount, not accounting profit.</x:v>
      </x:c>
      <x:c r="H64" s="59" t="str">
        <x:v>[Active Loan Interest Earned] - [Total Outstanding Principal]</x:v>
      </x:c>
    </x:row>
    <x:row r="65" ht="15" customHeight="1">
      <x:c r="A65" s="57" t="str">
        <x:v>Borrowers</x:v>
      </x:c>
      <x:c r="B65" s="57" t="n">
        <x:v>61</x:v>
      </x:c>
      <x:c r="C65" s="59" t="str">
        <x:v>Projected Monthly Profit Contribution</x:v>
      </x:c>
      <x:c r="D65" s="59" t="str">
        <x:v>VC / Price</x:v>
      </x:c>
      <x:c r="E65" s="57" t="str">
        <x:v>OLAP only</x:v>
      </x:c>
      <x:c r="F65" s="57" t="str">
        <x:v>Show; 0 decimals; bilingual display name</x:v>
      </x:c>
      <x:c r="G65" s="59" t="str">
        <x:v>Borrower-grain contribution that mirrors Statistics[Projected Monthly Profit] for pie-chart attribution across the full Borrowers population.</x:v>
      </x:c>
      <x:c r="H65" s="59" t="str">
        <x:v>SUM(SELECT(Repayments[Interest Paid], AND([Ref Loans].[Ref Borrowers] = [_THISROW].[Row ID], MONTH([Payment Date]) = MONTH(TODAY()), YEAR([Payment Date]) = YEAR(TODAY())))) + SUM(SELECT(Charges[Interest Remaining], [Ref Loans].[Ref Borrowers] = [_THISROW].[Row ID])) + SUM(SELECT(Loans[Expected Interest This Month], [Ref Borrowers] = [_THISROW].[Row ID]))</x:v>
      </x:c>
    </x:row>
    <x:row r="66" ht="15" customHeight="1">
      <x:c r="A66" s="57" t="str">
        <x:v>Calendar</x:v>
      </x:c>
      <x:c r="B66" s="57" t="n">
        <x:v>1</x:v>
      </x:c>
      <x:c r="C66" s="59" t="str">
        <x:v>_RowNumber</x:v>
      </x:c>
      <x:c r="D66" s="59" t="str">
        <x:v>Physical / Number</x:v>
      </x:c>
      <x:c r="E66" s="57" t="str">
        <x:v>OLAP only</x:v>
      </x:c>
      <x:c r="F66" s="57" t="str">
        <x:v>-</x:v>
      </x:c>
      <x:c r="G66" s="59" t="str">
        <x:v>System-generated source-row ordinal; not a stable business key.</x:v>
      </x:c>
      <x:c r="H66" s="59" t="str">
        <x:v>Stored source column</x:v>
      </x:c>
    </x:row>
    <x:row r="67" ht="15" customHeight="1">
      <x:c r="A67" s="57" t="str">
        <x:v>Calendar</x:v>
      </x:c>
      <x:c r="B67" s="57" t="n">
        <x:v>2</x:v>
      </x:c>
      <x:c r="C67" s="59" t="str">
        <x:v>Date</x:v>
      </x:c>
      <x:c r="D67" s="59" t="str">
        <x:v>Physical / Date</x:v>
      </x:c>
      <x:c r="E67" s="57" t="str">
        <x:v>OLAP only</x:v>
      </x:c>
      <x:c r="F67" s="57" t="str">
        <x:v>Key, Label, Required</x:v>
      </x:c>
      <x:c r="G67" s="59" t="str">
        <x:v>Stores the source date for Date.</x:v>
      </x:c>
      <x:c r="H67" s="59" t="str">
        <x:v>Stored source column</x:v>
      </x:c>
    </x:row>
    <x:row r="68" ht="21.600000381469727" customHeight="1">
      <x:c r="A68" s="57" t="str">
        <x:v>Calendar</x:v>
      </x:c>
      <x:c r="B68" s="57" t="n">
        <x:v>3</x:v>
      </x:c>
      <x:c r="C68" s="59" t="str">
        <x:v>Assessment Proposed Amount</x:v>
      </x:c>
      <x:c r="D68" s="59" t="str">
        <x:v>VC / Price</x:v>
      </x:c>
      <x:c r="E68" s="57" t="str">
        <x:v>OLAP only</x:v>
      </x:c>
      <x:c r="F68" s="57" t="str">
        <x:v>-</x:v>
      </x:c>
      <x:c r="G68" s="59" t="str">
        <x:v>Derived financial aggregate or balance for operational or analytical use.</x:v>
      </x:c>
      <x:c r="H68" s="59" t="str">
        <x:v>LOOKUP( "MAIN", "Loan Assessment", "Assessment ID", "Proposed Loan Amount")</x:v>
      </x:c>
    </x:row>
    <x:row r="69" ht="54" customHeight="1">
      <x:c r="A69" s="57" t="str">
        <x:v>Calendar</x:v>
      </x:c>
      <x:c r="B69" s="57" t="n">
        <x:v>4</x:v>
      </x:c>
      <x:c r="C69" s="59" t="str">
        <x:v>Assessment Borrower</x:v>
      </x:c>
      <x:c r="D69" s="59" t="str">
        <x:v>VC / Ref</x:v>
      </x:c>
      <x:c r="E69" s="57" t="str">
        <x:v>OLAP only</x:v>
      </x:c>
      <x:c r="F69" s="57" t="str">
        <x:v>-</x:v>
      </x:c>
      <x:c r="G69" s="59" t="str">
        <x:v>Reference key that links this row to the configured parent table.</x:v>
      </x:c>
      <x:c r="H69" s="59" t="str">
        <x:v>LOOKUP("MAIN", "Loan Assessment", "Assessment ID", "Ref Borrower")</x:v>
      </x:c>
    </x:row>
    <x:row r="70" ht="15" customHeight="1">
      <x:c r="A70" s="57" t="str">
        <x:v>Calendar</x:v>
      </x:c>
      <x:c r="B70" s="57" t="n">
        <x:v>5</x:v>
      </x:c>
      <x:c r="C70" s="59" t="str">
        <x:v>Assessment Minimum Rate</x:v>
      </x:c>
      <x:c r="D70" s="59" t="str">
        <x:v>VC / Percent</x:v>
      </x:c>
      <x:c r="E70" s="57" t="str">
        <x:v>OLAP only</x:v>
      </x:c>
      <x:c r="F70" s="57" t="str">
        <x:v>-</x:v>
      </x:c>
      <x:c r="G70" s="59" t="str">
        <x:v>Derived ratio or performance measure calculated from governed source values.</x:v>
      </x:c>
      <x:c r="H70" s="59" t="str">
        <x:v>LOOKUP("MAIN", "Loan Assessment", "Assessment ID", "Minimum Daily Profit Rate")</x:v>
      </x:c>
    </x:row>
    <x:row r="71" ht="21.600000381469727" customHeight="1">
      <x:c r="A71" s="57" t="str">
        <x:v>Calendar</x:v>
      </x:c>
      <x:c r="B71" s="57" t="n">
        <x:v>6</x:v>
      </x:c>
      <x:c r="C71" s="59" t="str">
        <x:v>Projected Outstanding Principal</x:v>
      </x:c>
      <x:c r="D71" s="59" t="str">
        <x:v>VC / Price</x:v>
      </x:c>
      <x:c r="E71" s="57" t="str">
        <x:v>OLAP only</x:v>
      </x:c>
      <x:c r="F71" s="57" t="str">
        <x:v>-</x:v>
      </x:c>
      <x:c r="G71" s="59" t="str">
        <x:v>Projected selected-borrower principal. Daily-installment balances start from current Outstanding Principal, subtract only contract principal after the latest posted Charge through the candidate date/Due Date, and do not go below zero.</x:v>
      </x:c>
      <x:c r="H71" s="59" t="str">
        <x:v>SUM(
  SELECT(
    Loans[Outstanding Principal],
    AND(
      [Ref Borrowers] = [_THISROW].[Assessment Borrower],
      [Loan Status] = "ยังไม่ปิดยอด",
      OR(
        [Loan Type] = "ดอกเบี้ยรายวัน",
        AND([Loan Type] = "กำหนดวันชำระ", [Due Date] &gt; [_THISROW].[Date])
      )
    )
  )
)
+ MAX(
  LIST(
    [Assessment Installment Future Principal Due] * 0,
    SUM(
      SELECT(
        Loans[Outstanding Principal],
        AND(
          [Ref Borrowers] = [_THISROW].[Assessment Borrower],
          [Loan Status] = "ยังไม่ปิดยอด",
          [Loan Type] = "ผ่อนชำระรายวัน",
          [Loan Date] &lt;= [_THISROW].[Date]
        )
      )
    )
    - SUM(
      SELECT(
        Calendar[Assessment Installment Future Principal Due],
        [Date] &lt;= [_THISROW].[Date]
      )
    )
  )
)</x:v>
      </x:c>
    </x:row>
    <x:row r="72" ht="21.600000381469727" customHeight="1">
      <x:c r="A72" s="57" t="str">
        <x:v>Calendar</x:v>
      </x:c>
      <x:c r="B72" s="57" t="n">
        <x:v>7</x:v>
      </x:c>
      <x:c r="C72" s="59" t="str">
        <x:v>Projected Interest</x:v>
      </x:c>
      <x:c r="D72" s="59" t="str">
        <x:v>VC / Price</x:v>
      </x:c>
      <x:c r="E72" s="57" t="str">
        <x:v>OLAP only</x:v>
      </x:c>
      <x:c r="F72" s="57" t="str">
        <x:v>-</x:v>
      </x:c>
      <x:c r="G72" s="59" t="str">
        <x:v>Actual selected-borrower interest received plus future daily-interest, fixed-date, and uncharged daily-installment interest. Daily-installment Transfer Fee is not projected again.</x:v>
      </x:c>
      <x:c r="H72" s="59" t="str">
        <x:v>SUM(
  SELECT(
    Loans[Total Interest Received],
    AND(
      [Ref Borrowers] = [_THISROW].[Assessment Borrower],
      [Loan Status] = "ยังไม่ปิดยอด"
    )
  )
)
+ (
  SUM(
    SELECT(
      Loans[Current Daily Interest],
      AND(
        [Ref Borrowers] = [_THISROW].[Assessment Borrower],
        [Loan Status] = "ยังไม่ปิดยอด",
        [Loan Type] = "ดอกเบี้ยรายวัน"
      )
    )
  )
  * IF([Date] &gt; TODAY(), TOTALHOURS([Date] - TODAY()) / 24, 0)
)
+ SUM(
  SELECT(
    Loans[Fixed Interest],
    AND(
      [Ref Borrowers] = [_THISROW].[Assessment Borrower],
      [Loan Status] = "ยังไม่ปิดยอด",
      [Loan Type] = "กำหนดวันชำระ",
      [Due Date] &gt; TODAY(),
      [Due Date] &lt;= [_THISROW].[Date]
    )
  )
)
+ SUM(
  SELECT(
    Calendar[Assessment Installment Future Interest Due],
    [Date] &lt;= [_THISROW].[Date]
  )
)</x:v>
      </x:c>
    </x:row>
    <x:row r="73" ht="21.600000381469727" customHeight="1">
      <x:c r="A73" s="57" t="str">
        <x:v>Calendar</x:v>
      </x:c>
      <x:c r="B73" s="57" t="n">
        <x:v>8</x:v>
      </x:c>
      <x:c r="C73" s="59" t="str">
        <x:v>Candidate Day Index</x:v>
      </x:c>
      <x:c r="D73" s="59" t="str">
        <x:v>VC / Decimal</x:v>
      </x:c>
      <x:c r="E73" s="57" t="str">
        <x:v>OLAP only</x:v>
      </x:c>
      <x:c r="F73" s="57" t="str">
        <x:v>-</x:v>
      </x:c>
      <x:c r="G73" s="59" t="str">
        <x:v>Derived date, time-window, age, or delinquency measure.</x:v>
      </x:c>
      <x:c r="H73" s="59" t="str">
        <x:v>TOTALHOURS( [Date] - DATE("01/01/2000")) / 24</x:v>
      </x:c>
    </x:row>
    <x:row r="74" ht="15" customHeight="1">
      <x:c r="A74" s="57" t="str">
        <x:v>Calendar</x:v>
      </x:c>
      <x:c r="B74" s="57" t="n">
        <x:v>9</x:v>
      </x:c>
      <x:c r="C74" s="59" t="str">
        <x:v>Assessment Principal Base</x:v>
      </x:c>
      <x:c r="D74" s="59" t="str">
        <x:v>VC / Price</x:v>
      </x:c>
      <x:c r="E74" s="57" t="str">
        <x:v>OLAP only</x:v>
      </x:c>
      <x:c r="F74" s="57" t="str">
        <x:v>-</x:v>
      </x:c>
      <x:c r="G74" s="59" t="str">
        <x:v>Principal base used by Minimum Required Profit; daily-installment exposure follows the declining contract balance.</x:v>
      </x:c>
      <x:c r="H74" s="59" t="str">
        <x:v>SUM(
  SELECT(
    Loans[Principal Amount],
    AND(
      [Ref Borrowers] = [_THISROW].[Assessment Borrower],
      [Loan Status] = "ยังไม่ปิดยอด",
      OR(
        [Loan Type] = "ดอกเบี้ยรายวัน",
        AND([Loan Type] = "กำหนดวันชำระ", [Due Date] &gt; [_THISROW].[Date])
      )
    )
  )
)
+ [Assessment Installment Contract Outstanding]</x:v>
      </x:c>
    </x:row>
    <x:row r="75" ht="15" customHeight="1">
      <x:c r="A75" s="57" t="str">
        <x:v>Calendar</x:v>
      </x:c>
      <x:c r="B75" s="57" t="n">
        <x:v>10</x:v>
      </x:c>
      <x:c r="C75" s="59" t="str">
        <x:v>Assessment Principal Start Weight</x:v>
      </x:c>
      <x:c r="D75" s="59" t="str">
        <x:v>VC / Decimal</x:v>
      </x:c>
      <x:c r="E75" s="57" t="str">
        <x:v>OLAP only</x:v>
      </x:c>
      <x:c r="F75" s="57" t="str">
        <x:v>-</x:v>
      </x:c>
      <x:c r="G75" s="59" t="str">
        <x:v>Principal-day start weight used by Minimum Required Profit; algebraically preserves cumulative declining daily-installment principal-days.</x:v>
      </x:c>
      <x:c r="H75" s="59" t="str">
        <x:v>SUM(
  SELECT(
    Loans[Principal Start Weight],
    AND(
      [Ref Borrowers] = [_THISROW].[Assessment Borrower],
      [Loan Status] = "ยังไม่ปิดยอด",
      OR(
        [Loan Type] = "ดอกเบี้ยรายวัน",
        AND([Loan Type] = "กำหนดวันชำระ", [Due Date] &gt; [_THISROW].[Date])
      )
    )
  )
)
+ (([Candidate Day Index] + 1) * [Assessment Installment Contract Outstanding])
- SUM(
  SELECT(
    Calendar[Assessment Installment Contract Outstanding],
    [Date] &lt;= [_THISROW].[Date]
  )
)</x:v>
      </x:c>
    </x:row>
    <x:row r="76" ht="15" customHeight="1">
      <x:c r="A76" s="57" t="str">
        <x:v>Calendar</x:v>
      </x:c>
      <x:c r="B76" s="57" t="n">
        <x:v>11</x:v>
      </x:c>
      <x:c r="C76" s="59" t="str">
        <x:v>Minimum Required Profit</x:v>
      </x:c>
      <x:c r="D76" s="59" t="str">
        <x:v>VC / Price</x:v>
      </x:c>
      <x:c r="E76" s="57" t="str">
        <x:v>OLAP only</x:v>
      </x:c>
      <x:c r="F76" s="57" t="str">
        <x:v>-</x:v>
      </x:c>
      <x:c r="G76" s="59" t="str">
        <x:v>Derived financial aggregate or balance for operational or analytical use.</x:v>
      </x:c>
      <x:c r="H76" s="59" t="str">
        <x:v>[Assessment Minimum Rate]* (( ( [Candidate Day Index] + 1 ) * [Assessment Principal Base] )- [Assessment Principal Start Weight])</x:v>
      </x:c>
    </x:row>
    <x:row r="77" ht="15" customHeight="1">
      <x:c r="A77" s="57" t="str">
        <x:v>Calendar</x:v>
      </x:c>
      <x:c r="B77" s="57" t="n">
        <x:v>12</x:v>
      </x:c>
      <x:c r="C77" s="59" t="str">
        <x:v>Required Coverage</x:v>
      </x:c>
      <x:c r="D77" s="59" t="str">
        <x:v>VC / Price</x:v>
      </x:c>
      <x:c r="E77" s="57" t="str">
        <x:v>OLAP only</x:v>
      </x:c>
      <x:c r="F77" s="57" t="str">
        <x:v>-</x:v>
      </x:c>
      <x:c r="G77" s="59" t="str">
        <x:v>Derived ratio or performance measure calculated from governed source values.</x:v>
      </x:c>
      <x:c r="H77" s="59" t="str">
        <x:v>[Projected Outstanding Principal]+[Assessment Proposed Amount]+[Minimum Required Profit]</x:v>
      </x:c>
    </x:row>
    <x:row r="78" ht="15" customHeight="1">
      <x:c r="A78" s="57" t="str">
        <x:v>Calendar</x:v>
      </x:c>
      <x:c r="B78" s="57" t="n">
        <x:v>13</x:v>
      </x:c>
      <x:c r="C78" s="59" t="str">
        <x:v>Coverage Margin</x:v>
      </x:c>
      <x:c r="D78" s="59" t="str">
        <x:v>VC / Price</x:v>
      </x:c>
      <x:c r="E78" s="57" t="str">
        <x:v>OLAP only</x:v>
      </x:c>
      <x:c r="F78" s="57" t="str">
        <x:v>-</x:v>
      </x:c>
      <x:c r="G78" s="59" t="str">
        <x:v>Derived ratio or performance measure calculated from governed source values.</x:v>
      </x:c>
      <x:c r="H78" s="59" t="str">
        <x:v>[Projected Interest] - [Required Coverage]</x:v>
      </x:c>
    </x:row>
    <x:row r="79" ht="15" customHeight="1">
      <x:c r="A79" s="57" t="str">
        <x:v>Calendar</x:v>
      </x:c>
      <x:c r="B79" s="57" t="n">
        <x:v>14</x:v>
      </x:c>
      <x:c r="C79" s="59" t="str">
        <x:v>Eligible</x:v>
      </x:c>
      <x:c r="D79" s="59" t="str">
        <x:v>VC / Yes/No</x:v>
      </x:c>
      <x:c r="E79" s="57" t="str">
        <x:v>OLAP only</x:v>
      </x:c>
      <x:c r="F79" s="57" t="str">
        <x:v>-</x:v>
      </x:c>
      <x:c r="G79" s="59" t="str">
        <x:v>Derived business-state or risk indicator.</x:v>
      </x:c>
      <x:c r="H79" s="59" t="str">
        <x:v>AND([Date] &gt;= TODAY(), [Projected Interest] &gt;= [Required Coverage])</x:v>
      </x:c>
    </x:row>
    <x:row r="80" ht="15" customHeight="1">
      <x:c r="A80" s="57" t="str">
        <x:v>Calendar</x:v>
      </x:c>
      <x:c r="B80" s="57" t="n">
        <x:v>15</x:v>
      </x:c>
      <x:c r="C80" s="59" t="str">
        <x:v>Year</x:v>
      </x:c>
      <x:c r="D80" s="59" t="str">
        <x:v>VC / Number</x:v>
      </x:c>
      <x:c r="E80" s="57" t="str">
        <x:v>OLAP only</x:v>
      </x:c>
      <x:c r="F80" s="57" t="str">
        <x:v>-</x:v>
      </x:c>
      <x:c r="G80" s="59" t="str">
        <x:v>Derived date, time-window, age, or delinquency measure.</x:v>
      </x:c>
      <x:c r="H80" s="59" t="str">
        <x:v>YEAR([Date])</x:v>
      </x:c>
    </x:row>
    <x:row r="81" ht="15" customHeight="1">
      <x:c r="A81" s="57" t="str">
        <x:v>Calendar</x:v>
      </x:c>
      <x:c r="B81" s="57" t="n">
        <x:v>16</x:v>
      </x:c>
      <x:c r="C81" s="59" t="str">
        <x:v>Month</x:v>
      </x:c>
      <x:c r="D81" s="59" t="str">
        <x:v>VC / Number</x:v>
      </x:c>
      <x:c r="E81" s="57" t="str">
        <x:v>OLAP only</x:v>
      </x:c>
      <x:c r="F81" s="57" t="str">
        <x:v>-</x:v>
      </x:c>
      <x:c r="G81" s="59" t="str">
        <x:v>Derived date, time-window, age, or delinquency measure.</x:v>
      </x:c>
      <x:c r="H81" s="59" t="str">
        <x:v>MONTH([Date])</x:v>
      </x:c>
    </x:row>
    <x:row r="82" ht="15" customHeight="1">
      <x:c r="A82" s="57" t="str">
        <x:v>Calendar</x:v>
      </x:c>
      <x:c r="B82" s="57" t="n">
        <x:v>17</x:v>
      </x:c>
      <x:c r="C82" s="59" t="str">
        <x:v>Month Name</x:v>
      </x:c>
      <x:c r="D82" s="59" t="str">
        <x:v>VC / Text</x:v>
      </x:c>
      <x:c r="E82" s="57" t="str">
        <x:v>OLAP only</x:v>
      </x:c>
      <x:c r="F82" s="57" t="str">
        <x:v>-</x:v>
      </x:c>
      <x:c r="G82" s="59" t="str">
        <x:v>Derived date, time-window, age, or delinquency measure.</x:v>
      </x:c>
      <x:c r="H82" s="59" t="str">
        <x:v>TEXT([Date], "MMMM")</x:v>
      </x:c>
    </x:row>
    <x:row r="83" ht="15" customHeight="1">
      <x:c r="A83" s="57" t="str">
        <x:v>Calendar</x:v>
      </x:c>
      <x:c r="B83" s="57" t="n">
        <x:v>18</x:v>
      </x:c>
      <x:c r="C83" s="59" t="str">
        <x:v>Year Month</x:v>
      </x:c>
      <x:c r="D83" s="59" t="str">
        <x:v>VC / Text</x:v>
      </x:c>
      <x:c r="E83" s="57" t="str">
        <x:v>OLAP only</x:v>
      </x:c>
      <x:c r="F83" s="57" t="str">
        <x:v>-</x:v>
      </x:c>
      <x:c r="G83" s="59" t="str">
        <x:v>Derived date, time-window, age, or delinquency measure.</x:v>
      </x:c>
      <x:c r="H83" s="59" t="str">
        <x:v>TEXT([Date], "YYYY-MM")</x:v>
      </x:c>
    </x:row>
    <x:row r="84" ht="15" customHeight="1">
      <x:c r="A84" s="57" t="str">
        <x:v>Calendar</x:v>
      </x:c>
      <x:c r="B84" s="57" t="n">
        <x:v>19</x:v>
      </x:c>
      <x:c r="C84" s="59" t="str">
        <x:v>Week</x:v>
      </x:c>
      <x:c r="D84" s="59" t="str">
        <x:v>VC / Number</x:v>
      </x:c>
      <x:c r="E84" s="57" t="str">
        <x:v>OLAP only</x:v>
      </x:c>
      <x:c r="F84" s="57" t="str">
        <x:v>-</x:v>
      </x:c>
      <x:c r="G84" s="59" t="str">
        <x:v>Derived date, time-window, age, or delinquency measure.</x:v>
      </x:c>
      <x:c r="H84" s="59" t="str">
        <x:v>WEEKNUM([Date])</x:v>
      </x:c>
    </x:row>
    <x:row r="85" ht="15" customHeight="1">
      <x:c r="A85" s="57" t="str">
        <x:v>Calendar</x:v>
      </x:c>
      <x:c r="B85" s="57" t="n">
        <x:v>20</x:v>
      </x:c>
      <x:c r="C85" s="59" t="str">
        <x:v>Year Week</x:v>
      </x:c>
      <x:c r="D85" s="59" t="str">
        <x:v>VC / Text</x:v>
      </x:c>
      <x:c r="E85" s="57" t="str">
        <x:v>OLAP only</x:v>
      </x:c>
      <x:c r="F85" s="57" t="str">
        <x:v>-</x:v>
      </x:c>
      <x:c r="G85" s="59" t="str">
        <x:v>Derived date, time-window, age, or delinquency measure.</x:v>
      </x:c>
      <x:c r="H85" s="59" t="str">
        <x:v>CONCATENATE(YEAR([Date]), "-W", RIGHT("0" &amp; WEEKNUM([Date]), 2))</x:v>
      </x:c>
    </x:row>
    <x:row r="86" ht="15" customHeight="1">
      <x:c r="A86" s="57" t="str">
        <x:v>Calendar</x:v>
      </x:c>
      <x:c r="B86" s="57" t="n">
        <x:v>21</x:v>
      </x:c>
      <x:c r="C86" s="59" t="str">
        <x:v>Week Start</x:v>
      </x:c>
      <x:c r="D86" s="59" t="str">
        <x:v>VC / Date</x:v>
      </x:c>
      <x:c r="E86" s="57" t="str">
        <x:v>OLAP only</x:v>
      </x:c>
      <x:c r="F86" s="57" t="str">
        <x:v>-</x:v>
      </x:c>
      <x:c r="G86" s="59" t="str">
        <x:v>Derived date, time-window, age, or delinquency measure.</x:v>
      </x:c>
      <x:c r="H86" s="59" t="str">
        <x:v>[Date] - MOD(WEEKDAY([Date]) + 5, 7)</x:v>
      </x:c>
    </x:row>
    <x:row r="87" ht="15" customHeight="1">
      <x:c r="A87" s="57" t="str">
        <x:v>Calendar</x:v>
      </x:c>
      <x:c r="B87" s="57" t="n">
        <x:v>22</x:v>
      </x:c>
      <x:c r="C87" s="59" t="str">
        <x:v>Quarter</x:v>
      </x:c>
      <x:c r="D87" s="59" t="str">
        <x:v>VC / Text</x:v>
      </x:c>
      <x:c r="E87" s="57" t="str">
        <x:v>OLAP only</x:v>
      </x:c>
      <x:c r="F87" s="57" t="str">
        <x:v>-</x:v>
      </x:c>
      <x:c r="G87" s="59" t="str">
        <x:v>Derived AppSheet value used by the app workflow, presentation, or reporting model.</x:v>
      </x:c>
      <x:c r="H87" s="59" t="str">
        <x:v>CONCATENATE( "Q", CEILING(MONTH([Date]) / 3))</x:v>
      </x:c>
    </x:row>
    <x:row r="88" ht="15" customHeight="1">
      <x:c r="A88" s="57" t="str">
        <x:v>Calendar</x:v>
      </x:c>
      <x:c r="B88" s="57" t="n">
        <x:v>23</x:v>
      </x:c>
      <x:c r="C88" s="59" t="str">
        <x:v>Day of Week</x:v>
      </x:c>
      <x:c r="D88" s="59" t="str">
        <x:v>VC / Text</x:v>
      </x:c>
      <x:c r="E88" s="57" t="str">
        <x:v>OLAP only</x:v>
      </x:c>
      <x:c r="F88" s="57" t="str">
        <x:v>-</x:v>
      </x:c>
      <x:c r="G88" s="59" t="str">
        <x:v>Derived date, time-window, age, or delinquency measure.</x:v>
      </x:c>
      <x:c r="H88" s="59" t="str">
        <x:v>TEXT([Date], "dddd")</x:v>
      </x:c>
    </x:row>
    <x:row r="89" ht="15" customHeight="1">
      <x:c r="A89" s="57" t="str">
        <x:v>Calendar</x:v>
      </x:c>
      <x:c r="B89" s="57" t="n">
        <x:v>24</x:v>
      </x:c>
      <x:c r="C89" s="59" t="str">
        <x:v>Day of Month</x:v>
      </x:c>
      <x:c r="D89" s="59" t="str">
        <x:v>VC / Number</x:v>
      </x:c>
      <x:c r="E89" s="57" t="str">
        <x:v>OLAP only</x:v>
      </x:c>
      <x:c r="F89" s="57" t="str">
        <x:v>-</x:v>
      </x:c>
      <x:c r="G89" s="59" t="str">
        <x:v>Derived date, time-window, age, or delinquency measure.</x:v>
      </x:c>
      <x:c r="H89" s="59" t="str">
        <x:v>DAY([Date])</x:v>
      </x:c>
    </x:row>
    <x:row r="90" ht="15" customHeight="1">
      <x:c r="A90" s="57" t="str">
        <x:v>Calendar</x:v>
      </x:c>
      <x:c r="B90" s="57" t="n">
        <x:v>25</x:v>
      </x:c>
      <x:c r="C90" s="59" t="str">
        <x:v>Assessment Installment Contract Principal Due</x:v>
      </x:c>
      <x:c r="D90" s="59" t="str">
        <x:v>VC / Price</x:v>
      </x:c>
      <x:c r="E90" s="57" t="str">
        <x:v>OLAP only</x:v>
      </x:c>
      <x:c r="F90" s="57" t="str">
        <x:v>Hidden; whole baht</x:v>
      </x:c>
      <x:c r="G90" s="59" t="str">
        <x:v>Whole-baht scheduled principal for the candidate Calendar date; FLOOR base plus one baht on the earliest remainder days.</x:v>
      </x:c>
      <x:c r="H90" s="59" t="str">
        <x:v>SUM(
  SELECT(
    Loans[Daily Installment Base Principal],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
    )
  )
)
+ COUNT(
  SELECT(
    Loans[Row ID],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0,
      (TOTALHOURS([_THISROW].[Date] - [Loan Date]) / 24 + 1)
      &lt;= MOD(
        [Principal Amount],
        (TOTALHOURS([Due Date] - [Loan Date]) / 24 + 1)
      )
    )
  )
)</x:v>
      </x:c>
    </x:row>
    <x:row r="91" ht="15" customHeight="1">
      <x:c r="A91" s="57" t="str">
        <x:v>Calendar</x:v>
      </x:c>
      <x:c r="B91" s="57" t="n">
        <x:v>26</x:v>
      </x:c>
      <x:c r="C91" s="59" t="str">
        <x:v>Assessment Installment Future Principal Due</x:v>
      </x:c>
      <x:c r="D91" s="59" t="str">
        <x:v>VC / Price</x:v>
      </x:c>
      <x:c r="E91" s="57" t="str">
        <x:v>OLAP only</x:v>
      </x:c>
      <x:c r="F91" s="57" t="str">
        <x:v>Hidden; whole baht</x:v>
      </x:c>
      <x:c r="G91" s="59" t="str">
        <x:v>Whole-baht scheduled principal after each loan's latest posted Charge through its Due Date.</x:v>
      </x:c>
      <x:c r="H91" s="59" t="str">
        <x:v>SUM(
  SELECT(
    Loans[Daily Installment Base Principal],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0,
      [_THISROW].[Date] &gt; IF(
        ISNOTBLANK(MAX([Related Charges][Charge Date])),
        MAX([Related Charges][Charge Date]),
        [Loan Date] - 1
      )
    )
  )
)
+ COUNT(
  SELECT(
    Loans[Row ID],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0,
      [_THISROW].[Date] &gt; IF(
        ISNOTBLANK(MAX([Related Charges][Charge Date])),
        MAX([Related Charges][Charge Date]),
        [Loan Date] - 1
      ),
      (TOTALHOURS([_THISROW].[Date] - [Loan Date]) / 24 + 1)
      &lt;= MOD(
        [Principal Amount],
        (TOTALHOURS([Due Date] - [Loan Date]) / 24 + 1)
      )
    )
  )
)</x:v>
      </x:c>
    </x:row>
    <x:row r="92" ht="15" customHeight="1">
      <x:c r="A92" s="57" t="str">
        <x:v>Calendar</x:v>
      </x:c>
      <x:c r="B92" s="57" t="n">
        <x:v>27</x:v>
      </x:c>
      <x:c r="C92" s="59" t="str">
        <x:v>Assessment Installment Future Interest Due</x:v>
      </x:c>
      <x:c r="D92" s="59" t="str">
        <x:v>VC / Price</x:v>
      </x:c>
      <x:c r="E92" s="57" t="str">
        <x:v>OLAP only</x:v>
      </x:c>
      <x:c r="F92" s="57" t="str">
        <x:v>Hidden; whole baht</x:v>
      </x:c>
      <x:c r="G92" s="59" t="str">
        <x:v>Scheduled daily-installment payment after the latest Charge minus future scheduled principal; Transfer Fee excluded.</x:v>
      </x:c>
      <x:c r="H92" s="59" t="str">
        <x:v>SUM(
  SELECT(
    Loans[Daily Payment Amount],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0,
      [_THISROW].[Date] &gt; IF(
        ISNOTBLANK(MAX([Related Charges][Charge Date])),
        MAX([Related Charges][Charge Date]),
        [Loan Date] - 1
      )
    )
  )
)
- [Assessment Installment Future Principal Due]</x:v>
      </x:c>
    </x:row>
    <x:row r="93" ht="15" customHeight="1">
      <x:c r="A93" s="57" t="str">
        <x:v>Calendar</x:v>
      </x:c>
      <x:c r="B93" s="57" t="n">
        <x:v>28</x:v>
      </x:c>
      <x:c r="C93" s="59" t="str">
        <x:v>Assessment Installment Contract Outstanding</x:v>
      </x:c>
      <x:c r="D93" s="59" t="str">
        <x:v>VC / Price</x:v>
      </x:c>
      <x:c r="E93" s="57" t="str">
        <x:v>OLAP only</x:v>
      </x:c>
      <x:c r="F93" s="57" t="str">
        <x:v>Hidden; whole baht</x:v>
      </x:c>
      <x:c r="G93" s="59" t="str">
        <x:v>Nonnegative deterministic daily-installment contract balance after cumulative scheduled principal through the Calendar date.</x:v>
      </x:c>
      <x:c r="H93" s="59" t="str">
        <x:v>MAX(
  LIST(
    [Assessment Installment Contract Principal Due] * 0,
    SUM(
      SELECT(
        Loans[Principal Amount],
        AND(
          [Ref Borrowers] = [_THISROW].[Assessment Borrower],
          [Loan Status] = "ยังไม่ปิดยอด",
          [Loan Type] = "ผ่อนชำระรายวัน",
          [Loan Date] &lt;= [_THISROW].[Date],
          [Due Date] &gt;= [Loan Date],
          [Daily Payment Amount] &gt; 0
        )
      )
    )
    - SUM(
      SELECT(
        Calendar[Assessment Installment Contract Principal Due],
        [Date] &lt;= [_THISROW].[Date]
      )
    )
  )
)</x:v>
      </x:c>
    </x:row>
    <x:row r="94" ht="15" customHeight="1">
      <x:c r="A94" s="57" t="str">
        <x:v>Cash Pool Contributions</x:v>
      </x:c>
      <x:c r="B94" s="57" t="n">
        <x:v>1</x:v>
      </x:c>
      <x:c r="C94" s="59" t="str">
        <x:v>_RowNumber</x:v>
      </x:c>
      <x:c r="D94" s="59" t="str">
        <x:v>Physical / Number</x:v>
      </x:c>
      <x:c r="E94" s="57" t="str">
        <x:v>OLAP only</x:v>
      </x:c>
      <x:c r="F94" s="57" t="str">
        <x:v>-</x:v>
      </x:c>
      <x:c r="G94" s="59" t="str">
        <x:v>System-generated source-row ordinal; not a stable business key.</x:v>
      </x:c>
      <x:c r="H94" s="59" t="str">
        <x:v>Stored source column</x:v>
      </x:c>
    </x:row>
    <x:row r="95" ht="15" customHeight="1">
      <x:c r="A95" s="57" t="str">
        <x:v>Cash Pool Contributions</x:v>
      </x:c>
      <x:c r="B95" s="57" t="n">
        <x:v>2</x:v>
      </x:c>
      <x:c r="C95" s="59" t="str">
        <x:v>Row ID</x:v>
      </x:c>
      <x:c r="D95" s="59" t="str">
        <x:v>Physical / Text</x:v>
      </x:c>
      <x:c r="E95" s="57" t="str">
        <x:v>OLAP only</x:v>
      </x:c>
      <x:c r="F95" s="57" t="str">
        <x:v>Key, Required</x:v>
      </x:c>
      <x:c r="G95" s="59" t="str">
        <x:v>Immutable row key generated by the source database.</x:v>
      </x:c>
      <x:c r="H95" s="59" t="str">
        <x:v>Stored source column; initial value: UNIQUEID("PackedUUID")</x:v>
      </x:c>
    </x:row>
    <x:row r="96" ht="15" customHeight="1">
      <x:c r="A96" s="57" t="str">
        <x:v>Cash Pool Contributions</x:v>
      </x:c>
      <x:c r="B96" s="57" t="n">
        <x:v>3</x:v>
      </x:c>
      <x:c r="C96" s="59" t="str">
        <x:v>Ref Partner</x:v>
      </x:c>
      <x:c r="D96" s="59" t="str">
        <x:v>Physical / Ref</x:v>
      </x:c>
      <x:c r="E96" s="57" t="str">
        <x:v>OLAP only</x:v>
      </x:c>
      <x:c r="F96" s="57" t="str">
        <x:v>Required</x:v>
      </x:c>
      <x:c r="G96" s="59" t="str">
        <x:v>Reference key that links this row to the configured parent table.</x:v>
      </x:c>
      <x:c r="H96" s="59" t="str">
        <x:v>Stored source column</x:v>
      </x:c>
    </x:row>
    <x:row r="97" ht="15" customHeight="1">
      <x:c r="A97" s="57" t="str">
        <x:v>Cash Pool Contributions</x:v>
      </x:c>
      <x:c r="B97" s="57" t="n">
        <x:v>4</x:v>
      </x:c>
      <x:c r="C97" s="59" t="str">
        <x:v>Contribution Date</x:v>
      </x:c>
      <x:c r="D97" s="59" t="str">
        <x:v>Physical / Date</x:v>
      </x:c>
      <x:c r="E97" s="57" t="str">
        <x:v>OLAP only</x:v>
      </x:c>
      <x:c r="F97" s="57" t="str">
        <x:v>Label, Required</x:v>
      </x:c>
      <x:c r="G97" s="59" t="str">
        <x:v>Stores the source date for Contribution Date.</x:v>
      </x:c>
      <x:c r="H97" s="59" t="str">
        <x:v>Stored source column; initial value: TODAY()</x:v>
      </x:c>
    </x:row>
    <x:row r="98" ht="15" customHeight="1">
      <x:c r="A98" s="57" t="str">
        <x:v>Cash Pool Contributions</x:v>
      </x:c>
      <x:c r="B98" s="57" t="n">
        <x:v>5</x:v>
      </x:c>
      <x:c r="C98" s="59" t="str">
        <x:v>Transaction Type</x:v>
      </x:c>
      <x:c r="D98" s="59" t="str">
        <x:v>Physical / Enum</x:v>
      </x:c>
      <x:c r="E98" s="57" t="str">
        <x:v>OLAP only</x:v>
      </x:c>
      <x:c r="F98" s="57" t="str">
        <x:v>Required</x:v>
      </x:c>
      <x:c r="G98" s="59" t="str">
        <x:v>Stores the authoritative source value for Transaction Type.</x:v>
      </x:c>
      <x:c r="H98" s="59" t="str">
        <x:v>Stored source column; initial value: "Contribution"</x:v>
      </x:c>
    </x:row>
    <x:row r="99" ht="15" customHeight="1">
      <x:c r="A99" s="57" t="str">
        <x:v>Cash Pool Contributions</x:v>
      </x:c>
      <x:c r="B99" s="57" t="n">
        <x:v>6</x:v>
      </x:c>
      <x:c r="C99" s="59" t="str">
        <x:v>Amount</x:v>
      </x:c>
      <x:c r="D99" s="59" t="str">
        <x:v>Physical / Price</x:v>
      </x:c>
      <x:c r="E99" s="57" t="str">
        <x:v>OLAP only</x:v>
      </x:c>
      <x:c r="F99" s="57" t="str">
        <x:v>Required</x:v>
      </x:c>
      <x:c r="G99" s="59" t="str">
        <x:v>Stores the financially material source value for Amount.</x:v>
      </x:c>
      <x:c r="H99" s="59" t="str">
        <x:v>Stored source column</x:v>
      </x:c>
    </x:row>
    <x:row r="100" ht="15" customHeight="1">
      <x:c r="A100" s="57" t="str">
        <x:v>Cash Pool Contributions</x:v>
      </x:c>
      <x:c r="B100" s="57" t="n">
        <x:v>7</x:v>
      </x:c>
      <x:c r="C100" s="59" t="str">
        <x:v>Notes</x:v>
      </x:c>
      <x:c r="D100" s="59" t="str">
        <x:v>Physical / Text</x:v>
      </x:c>
      <x:c r="E100" s="57" t="str">
        <x:v>OLAP only</x:v>
      </x:c>
      <x:c r="F100" s="57" t="str">
        <x:v>-</x:v>
      </x:c>
      <x:c r="G100" s="59" t="str">
        <x:v>Stores the authoritative source value for Notes.</x:v>
      </x:c>
      <x:c r="H100" s="59" t="str">
        <x:v>Stored source column</x:v>
      </x:c>
    </x:row>
    <x:row r="101" ht="15" customHeight="1">
      <x:c r="A101" s="57" t="str">
        <x:v>Cash Pool Contributions</x:v>
      </x:c>
      <x:c r="B101" s="57" t="n">
        <x:v>8</x:v>
      </x:c>
      <x:c r="C101" s="59" t="str">
        <x:v>Net Contribution</x:v>
      </x:c>
      <x:c r="D101" s="59" t="str">
        <x:v>VC / Price</x:v>
      </x:c>
      <x:c r="E101" s="57" t="str">
        <x:v>OLAP only</x:v>
      </x:c>
      <x:c r="F101" s="57" t="str">
        <x:v>-</x:v>
      </x:c>
      <x:c r="G101" s="59" t="str">
        <x:v>Derived financial aggregate or balance for operational or analytical use.</x:v>
      </x:c>
      <x:c r="H101" s="59" t="str">
        <x:v>IF([Transaction Type] = "Contribution", [Amount], -[Amount])</x:v>
      </x:c>
    </x:row>
    <x:row r="102" ht="15" customHeight="1">
      <x:c r="A102" s="57" t="str">
        <x:v>Cash Pool Contributions</x:v>
      </x:c>
      <x:c r="B102" s="57" t="n">
        <x:v>9</x:v>
      </x:c>
      <x:c r="C102" s="59" t="str">
        <x:v>Transaction Type TE</x:v>
      </x:c>
      <x:c r="D102" s="59" t="str">
        <x:v>VC / Text</x:v>
      </x:c>
      <x:c r="E102" s="57" t="str">
        <x:v>OLAP only</x:v>
      </x:c>
      <x:c r="F102" s="57" t="str">
        <x:v>-</x:v>
      </x:c>
      <x:c r="G102" s="59" t="str">
        <x:v>Presentation-oriented label or bilingual display value.</x:v>
      </x:c>
      <x:c r="H102" s="59" t="str">
        <x:v>IF( [Transaction Type] = "Contribution", "เพิ่มเงิน - Contribution", "ถอนเงิน - Withdrawal")</x:v>
      </x:c>
    </x:row>
    <x:row r="103" ht="15" customHeight="1">
      <x:c r="A103" s="57" t="str">
        <x:v>Charges</x:v>
      </x:c>
      <x:c r="B103" s="57" t="n">
        <x:v>1</x:v>
      </x:c>
      <x:c r="C103" s="59" t="str">
        <x:v>_RowNumber</x:v>
      </x:c>
      <x:c r="D103" s="59" t="str">
        <x:v>Physical / Number</x:v>
      </x:c>
      <x:c r="E103" s="57" t="str">
        <x:v>OLTP + OLAP</x:v>
      </x:c>
      <x:c r="F103" s="57" t="str">
        <x:v>-</x:v>
      </x:c>
      <x:c r="G103" s="59" t="str">
        <x:v>System-generated source-row ordinal; not a stable business key.</x:v>
      </x:c>
      <x:c r="H103" s="59" t="str">
        <x:v>Stored source column</x:v>
      </x:c>
    </x:row>
    <x:row r="104" ht="15" customHeight="1">
      <x:c r="A104" s="57" t="str">
        <x:v>Charges</x:v>
      </x:c>
      <x:c r="B104" s="57" t="n">
        <x:v>2</x:v>
      </x:c>
      <x:c r="C104" s="59" t="str">
        <x:v>Row ID</x:v>
      </x:c>
      <x:c r="D104" s="59" t="str">
        <x:v>Physical / Text</x:v>
      </x:c>
      <x:c r="E104" s="57" t="str">
        <x:v>OLTP + OLAP</x:v>
      </x:c>
      <x:c r="F104" s="57" t="str">
        <x:v>Key, Required</x:v>
      </x:c>
      <x:c r="G104" s="59" t="str">
        <x:v>Immutable row key generated by the source database.</x:v>
      </x:c>
      <x:c r="H104" s="59" t="str">
        <x:v>Stored source column; initial value: UNIQUEID("PackedUUID")</x:v>
      </x:c>
    </x:row>
    <x:row r="105" ht="15" customHeight="1">
      <x:c r="A105" s="57" t="str">
        <x:v>Charges</x:v>
      </x:c>
      <x:c r="B105" s="57" t="n">
        <x:v>3</x:v>
      </x:c>
      <x:c r="C105" s="59" t="str">
        <x:v>Ref Loans</x:v>
      </x:c>
      <x:c r="D105" s="59" t="str">
        <x:v>Physical / Ref</x:v>
      </x:c>
      <x:c r="E105" s="57" t="str">
        <x:v>OLTP + OLAP</x:v>
      </x:c>
      <x:c r="F105" s="57" t="str">
        <x:v>OLTP Required</x:v>
      </x:c>
      <x:c r="G105" s="59" t="str">
        <x:v>Required OLTP parent-loan reference used to preserve Charge ownership and borrower/Collection dereferences.</x:v>
      </x:c>
      <x:c r="H105" s="59" t="str">
        <x:v>Stored source column; OLTP Required = TRUE</x:v>
      </x:c>
    </x:row>
    <x:row r="106" ht="21.600000381469727" customHeight="1">
      <x:c r="A106" s="57" t="str">
        <x:v>Charges</x:v>
      </x:c>
      <x:c r="B106" s="57" t="n">
        <x:v>4</x:v>
      </x:c>
      <x:c r="C106" s="59" t="str">
        <x:v>Charge Date</x:v>
      </x:c>
      <x:c r="D106" s="59" t="str">
        <x:v>Physical / Date</x:v>
      </x:c>
      <x:c r="E106" s="57" t="str">
        <x:v>OLTP + OLAP</x:v>
      </x:c>
      <x:c r="F106" s="57" t="str">
        <x:v>Label, Required</x:v>
      </x:c>
      <x:c r="G106" s="59" t="str">
        <x:v>Stores the source date for Charge Date.</x:v>
      </x:c>
      <x:c r="H106" s="59" t="str">
        <x:v>Stored source column; initial value: TODAY()</x:v>
      </x:c>
    </x:row>
    <x:row r="107" ht="150" customHeight="1">
      <x:c r="A107" s="82" t="str">
        <x:v>Charges</x:v>
      </x:c>
      <x:c r="B107" s="82" t="n">
        <x:v>5</x:v>
      </x:c>
      <x:c r="C107" s="82" t="str">
        <x:v>Interest Due</x:v>
      </x:c>
      <x:c r="D107" s="82" t="str">
        <x:v>Physical / Price</x:v>
      </x:c>
      <x:c r="E107" s="82" t="str">
        <x:v>OLTP + OLAP</x:v>
      </x:c>
      <x:c r="F107" s="82" t="str">
        <x:v>OLTP: Existing; required; initial 0
OLAP dated baseline: Required</x:v>
      </x:c>
      <x:c r="G107" s="82" t="str">
        <x:v>Retain zero-allocation snapshot charges during default</x:v>
      </x:c>
      <x:c r="H107" s="82" t="str">
        <x:v>OLTP deployed 3.000002: Valid If: OR([Principal Due] &lt;&gt; 0, [_THIS] &lt;&gt; 0, AND([Total Paid] = 0, COUNT(SELECT(Payment Allocations[Row ID], [Ref Charge] = [_THISROW].[Row ID])) &gt; 0, COUNT(SELECT(Payment Allocations[Row ID], AND([Ref Charge] = [_THISROW].[Row ID], OR([Allocated Amount] &lt;&gt; 0, [Ref Payment].[Status] &lt;&gt; "Posted")))) = 0)). Earlier rule: OR([Principal Due] &lt;&gt; 0, [_THIS] &lt;&gt; 0). Narrow zero/zero exception; signed default-loss interest remains supported.
OLAP dated baseline (unchanged): Stored source column; initial value: 0; OLTP Valid_If: OR([Principal Due] &lt;&gt; 0, [_THIS] &lt;&gt; 0)</x:v>
      </x:c>
    </x:row>
    <x:row r="108" ht="15" customHeight="1">
      <x:c r="A108" s="57" t="str">
        <x:v>Charges</x:v>
      </x:c>
      <x:c r="B108" s="57" t="n">
        <x:v>6</x:v>
      </x:c>
      <x:c r="C108" s="59" t="str">
        <x:v>Principal Due</x:v>
      </x:c>
      <x:c r="D108" s="59" t="str">
        <x:v>Physical / Price</x:v>
      </x:c>
      <x:c r="E108" s="57" t="str">
        <x:v>OLTP + OLAP</x:v>
      </x:c>
      <x:c r="F108" s="57" t="str">
        <x:v>Required</x:v>
      </x:c>
      <x:c r="G108" s="59" t="str">
        <x:v>Stores the financially material source value for Principal Due.</x:v>
      </x:c>
      <x:c r="H108" s="59" t="str">
        <x:v>Stored source column; initial value: 0; OLTP Valid_If: [_THIS] &gt;= 0</x:v>
      </x:c>
    </x:row>
    <x:row r="109" ht="21.600000381469727" customHeight="1">
      <x:c r="A109" s="57" t="str">
        <x:v>Charges</x:v>
      </x:c>
      <x:c r="B109" s="57" t="n">
        <x:v>7</x:v>
      </x:c>
      <x:c r="C109" s="59" t="str">
        <x:v>Notes</x:v>
      </x:c>
      <x:c r="D109" s="59" t="str">
        <x:v>Physical / LongText</x:v>
      </x:c>
      <x:c r="E109" s="57" t="str">
        <x:v>OLTP + OLAP</x:v>
      </x:c>
      <x:c r="F109" s="57" t="str">
        <x:v>-</x:v>
      </x:c>
      <x:c r="G109" s="59" t="str">
        <x:v>Stores the authoritative source value for Notes.</x:v>
      </x:c>
      <x:c r="H109" s="59" t="str">
        <x:v>Stored source column</x:v>
      </x:c>
    </x:row>
    <x:row r="110" ht="15" customHeight="1">
      <x:c r="A110" s="57" t="str">
        <x:v>Charges</x:v>
      </x:c>
      <x:c r="B110" s="57" t="n">
        <x:v>8</x:v>
      </x:c>
      <x:c r="C110" s="59" t="str">
        <x:v>Amount Due</x:v>
      </x:c>
      <x:c r="D110" s="59" t="str">
        <x:v>VC / Price</x:v>
      </x:c>
      <x:c r="E110" s="57" t="str">
        <x:v>OLTP + OLAP</x:v>
      </x:c>
      <x:c r="F110" s="57" t="str">
        <x:v>-</x:v>
      </x:c>
      <x:c r="G110" s="59" t="str">
        <x:v>Derived financial aggregate or balance for operational or analytical use.</x:v>
      </x:c>
      <x:c r="H110" s="59" t="str">
        <x:v>[Principal Due] + [Interest Due]</x:v>
      </x:c>
    </x:row>
    <x:row r="111" ht="15" customHeight="1">
      <x:c r="A111" s="57" t="str">
        <x:v>Charges</x:v>
      </x:c>
      <x:c r="B111" s="57" t="n">
        <x:v>9</x:v>
      </x:c>
      <x:c r="C111" s="59" t="str">
        <x:v>Borrower Name</x:v>
      </x:c>
      <x:c r="D111" s="59" t="str">
        <x:v>VC / Name</x:v>
      </x:c>
      <x:c r="E111" s="57" t="str">
        <x:v>OLTP + OLAP</x:v>
      </x:c>
      <x:c r="F111" s="57" t="str">
        <x:v>-</x:v>
      </x:c>
      <x:c r="G111" s="59" t="str">
        <x:v>Derived AppSheet value used by the app workflow, presentation, or reporting model.</x:v>
      </x:c>
      <x:c r="H111" s="59" t="str">
        <x:v>[Ref Loans].[Borrower Name]</x:v>
      </x:c>
    </x:row>
    <x:row r="112" ht="15" customHeight="1">
      <x:c r="A112" s="57" t="str">
        <x:v>Charges</x:v>
      </x:c>
      <x:c r="B112" s="57" t="n">
        <x:v>10</x:v>
      </x:c>
      <x:c r="C112" s="59" t="str">
        <x:v>Related Repayments</x:v>
      </x:c>
      <x:c r="D112" s="59" t="str">
        <x:v>VC / List</x:v>
      </x:c>
      <x:c r="E112" s="57" t="str">
        <x:v>OLTP + OLAP</x:v>
      </x:c>
      <x:c r="F112" s="57" t="str">
        <x:v>-</x:v>
      </x:c>
      <x:c r="G112" s="59" t="str">
        <x:v>Reverse-reference list of child rows that point to this record.</x:v>
      </x:c>
      <x:c r="H112" s="59" t="str">
        <x:v>REF_ROWS("Repayments", "Ref Charges")</x:v>
      </x:c>
    </x:row>
    <x:row r="113" ht="15" customHeight="1">
      <x:c r="A113" s="57" t="str">
        <x:v>Charges</x:v>
      </x:c>
      <x:c r="B113" s="57" t="n">
        <x:v>11</x:v>
      </x:c>
      <x:c r="C113" s="59" t="str">
        <x:v>Payment Status</x:v>
      </x:c>
      <x:c r="D113" s="59" t="str">
        <x:v>VC / Text</x:v>
      </x:c>
      <x:c r="E113" s="57" t="str">
        <x:v>OLTP + OLAP</x:v>
      </x:c>
      <x:c r="F113" s="57" t="str">
        <x:v>-</x:v>
      </x:c>
      <x:c r="G113" s="59" t="str">
        <x:v>Derived business-state or risk indicator.</x:v>
      </x:c>
      <x:c r="H113" s="59" t="str">
        <x:v>IFS( [Ref Loans].[Loan Status] = "ปิดยอดแล้ว", "ชำระแล้ว", [Total Paid] = 0, "รอชำระ", [Amount Remaining] &gt; 0, "ชำระบางส่วน", TRUE, "ชำระแล้ว")</x:v>
      </x:c>
    </x:row>
    <x:row r="114" ht="15" customHeight="1">
      <x:c r="A114" s="57" t="str">
        <x:v>Charges</x:v>
      </x:c>
      <x:c r="B114" s="57" t="n">
        <x:v>12</x:v>
      </x:c>
      <x:c r="C114" s="59" t="str">
        <x:v>Payment Date</x:v>
      </x:c>
      <x:c r="D114" s="59" t="str">
        <x:v>VC / Date</x:v>
      </x:c>
      <x:c r="E114" s="57" t="str">
        <x:v>OLTP + OLAP</x:v>
      </x:c>
      <x:c r="F114" s="57" t="str">
        <x:v>-</x:v>
      </x:c>
      <x:c r="G114" s="59" t="str">
        <x:v>Date on which the charge became fully paid. Display name in both apps: วันที่ชำระครบ / Paid in Full Date.</x:v>
      </x:c>
      <x:c r="H114" s="59" t="str">
        <x:v>IF([Payment Status] = "ชำระแล้ว", MAX([Related Repayments][Payment Date]), "")</x:v>
      </x:c>
    </x:row>
    <x:row r="115" ht="15" customHeight="1">
      <x:c r="A115" s="57" t="str">
        <x:v>Charges</x:v>
      </x:c>
      <x:c r="B115" s="57" t="n">
        <x:v>13</x:v>
      </x:c>
      <x:c r="C115" s="59" t="str">
        <x:v>Borrower Name TE</x:v>
      </x:c>
      <x:c r="D115" s="59" t="str">
        <x:v>VC / Text</x:v>
      </x:c>
      <x:c r="E115" s="57" t="str">
        <x:v>OLTP + OLAP</x:v>
      </x:c>
      <x:c r="F115" s="57" t="str">
        <x:v>-</x:v>
      </x:c>
      <x:c r="G115" s="59" t="str">
        <x:v>Presentation-oriented label or bilingual display value.</x:v>
      </x:c>
      <x:c r="H115" s="59" t="str">
        <x:v>[Ref Loans].[Borrower Name TE]</x:v>
      </x:c>
    </x:row>
    <x:row r="116" ht="15" customHeight="1">
      <x:c r="A116" s="57" t="str">
        <x:v>Charges</x:v>
      </x:c>
      <x:c r="B116" s="57" t="n">
        <x:v>14</x:v>
      </x:c>
      <x:c r="C116" s="59" t="str">
        <x:v>Payment Status TE</x:v>
      </x:c>
      <x:c r="D116" s="59" t="str">
        <x:v>VC / Text</x:v>
      </x:c>
      <x:c r="E116" s="57" t="str">
        <x:v>OLTP + OLAP</x:v>
      </x:c>
      <x:c r="F116" s="57" t="str">
        <x:v>-</x:v>
      </x:c>
      <x:c r="G116" s="59" t="str">
        <x:v>Presentation-oriented label or bilingual display value.</x:v>
      </x:c>
      <x:c r="H116" s="59" t="str">
        <x:v>IFS( [Payment Status] = "ชำระแล้ว", "ชำระแล้ว / Payment Received", [Payment Status] = "รอชำระ", "รอชำระ / Pending Payment", TRUE, "ชำระบางส่วน / Partial Payment")</x:v>
      </x:c>
    </x:row>
    <x:row r="117" ht="15" customHeight="1">
      <x:c r="A117" s="57" t="str">
        <x:v>Charges</x:v>
      </x:c>
      <x:c r="B117" s="57" t="n">
        <x:v>15</x:v>
      </x:c>
      <x:c r="C117" s="59" t="str">
        <x:v>Principal Paid</x:v>
      </x:c>
      <x:c r="D117" s="59" t="str">
        <x:v>VC / Price</x:v>
      </x:c>
      <x:c r="E117" s="57" t="str">
        <x:v>OLTP + OLAP</x:v>
      </x:c>
      <x:c r="F117" s="57" t="str">
        <x:v>-</x:v>
      </x:c>
      <x:c r="G117" s="59" t="str">
        <x:v>Derived financial aggregate or balance for operational or analytical use.</x:v>
      </x:c>
      <x:c r="H117" s="59" t="str">
        <x:v>SUM([Related Repayments][Principal Paid])</x:v>
      </x:c>
    </x:row>
    <x:row r="118" ht="21.600000381469727" customHeight="1">
      <x:c r="A118" s="57" t="str">
        <x:v>Charges</x:v>
      </x:c>
      <x:c r="B118" s="57" t="n">
        <x:v>16</x:v>
      </x:c>
      <x:c r="C118" s="59" t="str">
        <x:v>Interest Paid</x:v>
      </x:c>
      <x:c r="D118" s="59" t="str">
        <x:v>VC / Price</x:v>
      </x:c>
      <x:c r="E118" s="57" t="str">
        <x:v>OLTP + OLAP</x:v>
      </x:c>
      <x:c r="F118" s="57" t="str">
        <x:v>-</x:v>
      </x:c>
      <x:c r="G118" s="59" t="str">
        <x:v>Derived financial aggregate or balance for operational or analytical use.</x:v>
      </x:c>
      <x:c r="H118" s="59" t="str">
        <x:v>SUM([Related Repayments][Interest Paid])</x:v>
      </x:c>
    </x:row>
    <x:row r="119" ht="15" customHeight="1">
      <x:c r="A119" s="57" t="str">
        <x:v>Charges</x:v>
      </x:c>
      <x:c r="B119" s="57" t="n">
        <x:v>17</x:v>
      </x:c>
      <x:c r="C119" s="59" t="str">
        <x:v>Total Paid</x:v>
      </x:c>
      <x:c r="D119" s="59" t="str">
        <x:v>VC / Price</x:v>
      </x:c>
      <x:c r="E119" s="57" t="str">
        <x:v>OLTP + OLAP</x:v>
      </x:c>
      <x:c r="F119" s="57" t="str">
        <x:v>-</x:v>
      </x:c>
      <x:c r="G119" s="59" t="str">
        <x:v>Derived AppSheet value used by the app workflow, presentation, or reporting model.</x:v>
      </x:c>
      <x:c r="H119" s="59" t="str">
        <x:v>[Principal Paid] + [Interest Paid]</x:v>
      </x:c>
    </x:row>
    <x:row r="120" ht="15" customHeight="1">
      <x:c r="A120" s="57" t="str">
        <x:v>Charges</x:v>
      </x:c>
      <x:c r="B120" s="57" t="n">
        <x:v>18</x:v>
      </x:c>
      <x:c r="C120" s="59" t="str">
        <x:v>Principal Remaining</x:v>
      </x:c>
      <x:c r="D120" s="59" t="str">
        <x:v>VC / Price</x:v>
      </x:c>
      <x:c r="E120" s="57" t="str">
        <x:v>OLTP + OLAP</x:v>
      </x:c>
      <x:c r="F120" s="57" t="str">
        <x:v>-</x:v>
      </x:c>
      <x:c r="G120" s="59" t="str">
        <x:v>Derived financial aggregate or balance for operational or analytical use.</x:v>
      </x:c>
      <x:c r="H120" s="59" t="str">
        <x:v>[Principal Due] - [Principal Paid]</x:v>
      </x:c>
    </x:row>
    <x:row r="121" ht="15" customHeight="1">
      <x:c r="A121" s="57" t="str">
        <x:v>Charges</x:v>
      </x:c>
      <x:c r="B121" s="57" t="n">
        <x:v>19</x:v>
      </x:c>
      <x:c r="C121" s="59" t="str">
        <x:v>Interest Remaining</x:v>
      </x:c>
      <x:c r="D121" s="59" t="str">
        <x:v>VC / Price</x:v>
      </x:c>
      <x:c r="E121" s="57" t="str">
        <x:v>OLTP + OLAP</x:v>
      </x:c>
      <x:c r="F121" s="57" t="str">
        <x:v>-</x:v>
      </x:c>
      <x:c r="G121" s="59" t="str">
        <x:v>Derived financial aggregate or balance for operational or analytical use.</x:v>
      </x:c>
      <x:c r="H121" s="59" t="str">
        <x:v>[Interest Due] - [Interest Paid]</x:v>
      </x:c>
    </x:row>
    <x:row r="122" ht="15" customHeight="1">
      <x:c r="A122" s="57" t="str">
        <x:v>Charges</x:v>
      </x:c>
      <x:c r="B122" s="57" t="n">
        <x:v>20</x:v>
      </x:c>
      <x:c r="C122" s="59" t="str">
        <x:v>Amount Remaining</x:v>
      </x:c>
      <x:c r="D122" s="59" t="str">
        <x:v>VC / Price</x:v>
      </x:c>
      <x:c r="E122" s="57" t="str">
        <x:v>OLTP + OLAP</x:v>
      </x:c>
      <x:c r="F122" s="57" t="str">
        <x:v>-</x:v>
      </x:c>
      <x:c r="G122" s="59" t="str">
        <x:v>Derived financial aggregate or balance for operational or analytical use.</x:v>
      </x:c>
      <x:c r="H122" s="59" t="str">
        <x:v>[Principal Remaining] + [Interest Remaining]</x:v>
      </x:c>
    </x:row>
    <x:row r="123" ht="15" customHeight="1">
      <x:c r="A123" s="57" t="str">
        <x:v>Charges</x:v>
      </x:c>
      <x:c r="B123" s="57" t="n">
        <x:v>21</x:v>
      </x:c>
      <x:c r="C123" s="59" t="str">
        <x:v>Last Payment Date</x:v>
      </x:c>
      <x:c r="D123" s="59" t="str">
        <x:v>VC / Date</x:v>
      </x:c>
      <x:c r="E123" s="57" t="str">
        <x:v>OLAP only</x:v>
      </x:c>
      <x:c r="F123" s="57" t="str">
        <x:v>-</x:v>
      </x:c>
      <x:c r="G123" s="59" t="str">
        <x:v>Derived date, time-window, age, or delinquency measure.</x:v>
      </x:c>
      <x:c r="H123" s="59" t="str">
        <x:v>IF(COUNT([Related Repayments]) &gt; 0, MAX([Related Repayments][Payment Date]), "")</x:v>
      </x:c>
    </x:row>
    <x:row r="124" ht="15" customHeight="1">
      <x:c r="A124" s="57" t="str">
        <x:v>Charges</x:v>
      </x:c>
      <x:c r="B124" s="57" t="n">
        <x:v>22</x:v>
      </x:c>
      <x:c r="C124" s="59" t="str">
        <x:v>First Payment Date</x:v>
      </x:c>
      <x:c r="D124" s="59" t="str">
        <x:v>VC / Date</x:v>
      </x:c>
      <x:c r="E124" s="57" t="str">
        <x:v>OLAP only</x:v>
      </x:c>
      <x:c r="F124" s="57" t="str">
        <x:v>-</x:v>
      </x:c>
      <x:c r="G124" s="59" t="str">
        <x:v>Derived date, time-window, age, or delinquency measure.</x:v>
      </x:c>
      <x:c r="H124" s="59" t="str">
        <x:v>MIN([Related Repayments][Payment Date])</x:v>
      </x:c>
    </x:row>
    <x:row r="125" ht="15" customHeight="1">
      <x:c r="A125" s="57" t="str">
        <x:v>Charges</x:v>
      </x:c>
      <x:c r="B125" s="57" t="n">
        <x:v>23</x:v>
      </x:c>
      <x:c r="C125" s="59" t="str">
        <x:v>Days Late</x:v>
      </x:c>
      <x:c r="D125" s="59" t="str">
        <x:v>VC / Number</x:v>
      </x:c>
      <x:c r="E125" s="57" t="str">
        <x:v>OLAP only</x:v>
      </x:c>
      <x:c r="F125" s="57" t="str">
        <x:v>-</x:v>
      </x:c>
      <x:c r="G125" s="59" t="str">
        <x:v>Derived business-state or risk indicator.</x:v>
      </x:c>
      <x:c r="H125" s="59" t="str">
        <x:v>IFS(AND([Payment Status] = "ชำระแล้ว", ISNOTBLANK([Payment Date])), MAX(LIST(0, FLOOR(TOTALHOURS([Payment Date] - [Charge Date]) / 24))), [Charge Date] &lt; TODAY(), FLOOR(TOTALHOURS(TODAY() - [Charge Date]) / 24), TRUE, 0)</x:v>
      </x:c>
    </x:row>
    <x:row r="126" ht="15" customHeight="1">
      <x:c r="A126" s="57" t="str">
        <x:v>Charges</x:v>
      </x:c>
      <x:c r="B126" s="57" t="n">
        <x:v>24</x:v>
      </x:c>
      <x:c r="C126" s="59" t="str">
        <x:v>Historical On Time</x:v>
      </x:c>
      <x:c r="D126" s="59" t="str">
        <x:v>VC / Yes/No</x:v>
      </x:c>
      <x:c r="E126" s="57" t="str">
        <x:v>OLAP only</x:v>
      </x:c>
      <x:c r="F126" s="57" t="str">
        <x:v>-</x:v>
      </x:c>
      <x:c r="G126" s="59" t="str">
        <x:v>Derived business-state or risk indicator.</x:v>
      </x:c>
      <x:c r="H126" s="59" t="str">
        <x:v>AND([Charge Date] &lt; TODAY(), [Payment Status] = "ชำระแล้ว", [Days Late] = 0)</x:v>
      </x:c>
    </x:row>
    <x:row r="127" ht="15" customHeight="1">
      <x:c r="A127" s="57" t="str">
        <x:v>Charges</x:v>
      </x:c>
      <x:c r="B127" s="57" t="n">
        <x:v>25</x:v>
      </x:c>
      <x:c r="C127" s="59" t="str">
        <x:v>Historical Late</x:v>
      </x:c>
      <x:c r="D127" s="59" t="str">
        <x:v>VC / Yes/No</x:v>
      </x:c>
      <x:c r="E127" s="57" t="str">
        <x:v>OLAP only</x:v>
      </x:c>
      <x:c r="F127" s="57" t="str">
        <x:v>-</x:v>
      </x:c>
      <x:c r="G127" s="59" t="str">
        <x:v>Derived business-state or risk indicator.</x:v>
      </x:c>
      <x:c r="H127" s="59" t="str">
        <x:v>AND([Charge Date] &lt; TODAY(), [Days Late] &gt; 0)</x:v>
      </x:c>
    </x:row>
    <x:row r="128" ht="15" customHeight="1">
      <x:c r="A128" s="57" t="str">
        <x:v>Charges</x:v>
      </x:c>
      <x:c r="B128" s="57" t="n">
        <x:v>26</x:v>
      </x:c>
      <x:c r="C128" s="59" t="str">
        <x:v>Payment Count</x:v>
      </x:c>
      <x:c r="D128" s="59" t="str">
        <x:v>VC / Number</x:v>
      </x:c>
      <x:c r="E128" s="57" t="str">
        <x:v>OLTP only</x:v>
      </x:c>
      <x:c r="F128" s="57" t="str">
        <x:v>-</x:v>
      </x:c>
      <x:c r="G128" s="59" t="str">
        <x:v>Derived count used for workload, portfolio, or risk analysis.</x:v>
      </x:c>
      <x:c r="H128" s="59" t="str">
        <x:v>COUNT([Related Repayments])</x:v>
      </x:c>
    </x:row>
    <x:row r="129" ht="15" customHeight="1">
      <x:c r="A129" s="57" t="str">
        <x:v>Charges</x:v>
      </x:c>
      <x:c r="B129" s="57" t="n">
        <x:v>27</x:v>
      </x:c>
      <x:c r="C129" s="59" t="str">
        <x:v>Days Outstanding</x:v>
      </x:c>
      <x:c r="D129" s="59" t="str">
        <x:v>VC / Number</x:v>
      </x:c>
      <x:c r="E129" s="57" t="str">
        <x:v>OLTP only</x:v>
      </x:c>
      <x:c r="F129" s="57" t="str">
        <x:v>-</x:v>
      </x:c>
      <x:c r="G129" s="59" t="str">
        <x:v>Derived date, time-window, age, or delinquency measure.</x:v>
      </x:c>
      <x:c r="H129" s="59" t="str">
        <x:v>FLOOR( TOTALHOURS( IF( [Payment Status] = "ชำระแล้ว", [Payment Date] - [Charge Date], TODAY() - [Charge Date] ) ) / 24)</x:v>
      </x:c>
    </x:row>
    <x:row r="130" ht="15" customHeight="1">
      <x:c r="A130" s="57" t="str">
        <x:v>Charges</x:v>
      </x:c>
      <x:c r="B130" s="57" t="n">
        <x:v>28</x:v>
      </x:c>
      <x:c r="C130" s="59" t="str">
        <x:v>Payment Received Today</x:v>
      </x:c>
      <x:c r="D130" s="59" t="str">
        <x:v>VC / Price</x:v>
      </x:c>
      <x:c r="E130" s="57" t="str">
        <x:v>OLTP only</x:v>
      </x:c>
      <x:c r="F130" s="57" t="str">
        <x:v>Show; 0 decimals; OLTP #23</x:v>
      </x:c>
      <x:c r="G130" s="59" t="str">
        <x:v>Related repayment amount dated today for the Collection display.</x:v>
      </x:c>
      <x:c r="H130" s="59" t="str">
        <x:v>SUM([Related Repayments][Payment Amount Today])</x:v>
      </x:c>
    </x:row>
    <x:row r="131" ht="15" customHeight="1">
      <x:c r="A131" s="57" t="str">
        <x:v>Daily Analytics</x:v>
      </x:c>
      <x:c r="B131" s="57" t="n">
        <x:v>1</x:v>
      </x:c>
      <x:c r="C131" s="59" t="str">
        <x:v>_RowNumber</x:v>
      </x:c>
      <x:c r="D131" s="59" t="str">
        <x:v>Physical / Number</x:v>
      </x:c>
      <x:c r="E131" s="57" t="str">
        <x:v>OLAP only</x:v>
      </x:c>
      <x:c r="F131" s="57" t="str">
        <x:v>-</x:v>
      </x:c>
      <x:c r="G131" s="59" t="str">
        <x:v>System-generated source-row ordinal; not a stable business key.</x:v>
      </x:c>
      <x:c r="H131" s="59" t="str">
        <x:v>Stored source column</x:v>
      </x:c>
    </x:row>
    <x:row r="132" ht="15" customHeight="1">
      <x:c r="A132" s="57" t="str">
        <x:v>Daily Analytics</x:v>
      </x:c>
      <x:c r="B132" s="57" t="n">
        <x:v>2</x:v>
      </x:c>
      <x:c r="C132" s="59" t="str">
        <x:v>Row ID</x:v>
      </x:c>
      <x:c r="D132" s="59" t="str">
        <x:v>Physical / Text</x:v>
      </x:c>
      <x:c r="E132" s="57" t="str">
        <x:v>OLAP only</x:v>
      </x:c>
      <x:c r="F132" s="57" t="str">
        <x:v>Key, Required</x:v>
      </x:c>
      <x:c r="G132" s="59" t="str">
        <x:v>Immutable row key generated by the source database.</x:v>
      </x:c>
      <x:c r="H132" s="59" t="str">
        <x:v>Stored source column; initial value: UNIQUEID("PackedUUID")</x:v>
      </x:c>
    </x:row>
    <x:row r="133" ht="15" customHeight="1">
      <x:c r="A133" s="57" t="str">
        <x:v>Daily Analytics</x:v>
      </x:c>
      <x:c r="B133" s="57" t="n">
        <x:v>3</x:v>
      </x:c>
      <x:c r="C133" s="59" t="str">
        <x:v>Snapshot Date</x:v>
      </x:c>
      <x:c r="D133" s="59" t="str">
        <x:v>Physical / Date</x:v>
      </x:c>
      <x:c r="E133" s="57" t="str">
        <x:v>OLAP only</x:v>
      </x:c>
      <x:c r="F133" s="57" t="str">
        <x:v>Label</x:v>
      </x:c>
      <x:c r="G133" s="59" t="str">
        <x:v>Stores the source date for Snapshot Date.</x:v>
      </x:c>
      <x:c r="H133" s="59" t="str">
        <x:v>Stored source column; initial value: TODAY()</x:v>
      </x:c>
    </x:row>
    <x:row r="134" ht="15" customHeight="1">
      <x:c r="A134" s="57" t="str">
        <x:v>Daily Analytics</x:v>
      </x:c>
      <x:c r="B134" s="57" t="n">
        <x:v>4</x:v>
      </x:c>
      <x:c r="C134" s="59" t="str">
        <x:v>Generated At</x:v>
      </x:c>
      <x:c r="D134" s="59" t="str">
        <x:v>Physical / DateTime</x:v>
      </x:c>
      <x:c r="E134" s="57" t="str">
        <x:v>OLAP only</x:v>
      </x:c>
      <x:c r="F134" s="57" t="str">
        <x:v>-</x:v>
      </x:c>
      <x:c r="G134" s="59" t="str">
        <x:v>Stores the authoritative source value for Generated At.</x:v>
      </x:c>
      <x:c r="H134" s="59" t="str">
        <x:v>Stored source column; initial value: NOW()</x:v>
      </x:c>
    </x:row>
    <x:row r="135" ht="15" customHeight="1">
      <x:c r="A135" s="57" t="str">
        <x:v>Daily Analytics</x:v>
      </x:c>
      <x:c r="B135" s="57" t="n">
        <x:v>5</x:v>
      </x:c>
      <x:c r="C135" s="59" t="str">
        <x:v>Model Version</x:v>
      </x:c>
      <x:c r="D135" s="59" t="str">
        <x:v>Physical / Number</x:v>
      </x:c>
      <x:c r="E135" s="57" t="str">
        <x:v>OLAP only</x:v>
      </x:c>
      <x:c r="F135" s="57" t="str">
        <x:v>-</x:v>
      </x:c>
      <x:c r="G135" s="59" t="str">
        <x:v>Stores the authoritative source value for Model Version.</x:v>
      </x:c>
      <x:c r="H135" s="59" t="str">
        <x:v>Stored source column</x:v>
      </x:c>
    </x:row>
    <x:row r="136" ht="15" customHeight="1">
      <x:c r="A136" s="57" t="str">
        <x:v>Daily Analytics</x:v>
      </x:c>
      <x:c r="B136" s="57" t="n">
        <x:v>6</x:v>
      </x:c>
      <x:c r="C136" s="59" t="str">
        <x:v>Principal Issued</x:v>
      </x:c>
      <x:c r="D136" s="59" t="str">
        <x:v>Physical / Price</x:v>
      </x:c>
      <x:c r="E136" s="57" t="str">
        <x:v>OLAP only</x:v>
      </x:c>
      <x:c r="F136" s="57" t="str">
        <x:v>-</x:v>
      </x:c>
      <x:c r="G136" s="59" t="str">
        <x:v>Stores the financially material source value for Principal Issued.</x:v>
      </x:c>
      <x:c r="H136" s="59" t="str">
        <x:v>Stored source column</x:v>
      </x:c>
    </x:row>
    <x:row r="137" ht="15" customHeight="1">
      <x:c r="A137" s="57" t="str">
        <x:v>Daily Analytics</x:v>
      </x:c>
      <x:c r="B137" s="57" t="n">
        <x:v>7</x:v>
      </x:c>
      <x:c r="C137" s="59" t="str">
        <x:v>Loans Issued</x:v>
      </x:c>
      <x:c r="D137" s="59" t="str">
        <x:v>Physical / Number</x:v>
      </x:c>
      <x:c r="E137" s="57" t="str">
        <x:v>OLAP only</x:v>
      </x:c>
      <x:c r="F137" s="57" t="str">
        <x:v>-</x:v>
      </x:c>
      <x:c r="G137" s="59" t="str">
        <x:v>Stores the authoritative source value for Loans Issued.</x:v>
      </x:c>
      <x:c r="H137" s="59" t="str">
        <x:v>Stored source column</x:v>
      </x:c>
    </x:row>
    <x:row r="138" ht="15" customHeight="1">
      <x:c r="A138" s="57" t="str">
        <x:v>Daily Analytics</x:v>
      </x:c>
      <x:c r="B138" s="57" t="n">
        <x:v>8</x:v>
      </x:c>
      <x:c r="C138" s="59" t="str">
        <x:v>Principal Returned</x:v>
      </x:c>
      <x:c r="D138" s="59" t="str">
        <x:v>Physical / Price</x:v>
      </x:c>
      <x:c r="E138" s="57" t="str">
        <x:v>OLAP only</x:v>
      </x:c>
      <x:c r="F138" s="57" t="str">
        <x:v>-</x:v>
      </x:c>
      <x:c r="G138" s="59" t="str">
        <x:v>Stores the financially material source value for Principal Returned.</x:v>
      </x:c>
      <x:c r="H138" s="59" t="str">
        <x:v>Stored source column</x:v>
      </x:c>
    </x:row>
    <x:row r="139" ht="15" customHeight="1">
      <x:c r="A139" s="57" t="str">
        <x:v>Daily Analytics</x:v>
      </x:c>
      <x:c r="B139" s="57" t="n">
        <x:v>9</x:v>
      </x:c>
      <x:c r="C139" s="59" t="str">
        <x:v>Interest Received</x:v>
      </x:c>
      <x:c r="D139" s="59" t="str">
        <x:v>Physical / Price</x:v>
      </x:c>
      <x:c r="E139" s="57" t="str">
        <x:v>OLAP only</x:v>
      </x:c>
      <x:c r="F139" s="57" t="str">
        <x:v>-</x:v>
      </x:c>
      <x:c r="G139" s="59" t="str">
        <x:v>Stores the financially material source value for Interest Received.</x:v>
      </x:c>
      <x:c r="H139" s="59" t="str">
        <x:v>Stored source column</x:v>
      </x:c>
    </x:row>
    <x:row r="140" ht="15" customHeight="1">
      <x:c r="A140" s="57" t="str">
        <x:v>Daily Analytics</x:v>
      </x:c>
      <x:c r="B140" s="57" t="n">
        <x:v>10</x:v>
      </x:c>
      <x:c r="C140" s="59" t="str">
        <x:v>Repayments Count</x:v>
      </x:c>
      <x:c r="D140" s="59" t="str">
        <x:v>Physical / Number</x:v>
      </x:c>
      <x:c r="E140" s="57" t="str">
        <x:v>OLAP only</x:v>
      </x:c>
      <x:c r="F140" s="57" t="str">
        <x:v>-</x:v>
      </x:c>
      <x:c r="G140" s="59" t="str">
        <x:v>Stores the authoritative source value for Repayments Count.</x:v>
      </x:c>
      <x:c r="H140" s="59" t="str">
        <x:v>Stored source column</x:v>
      </x:c>
    </x:row>
    <x:row r="141" ht="15" customHeight="1">
      <x:c r="A141" s="57" t="str">
        <x:v>Daily Analytics</x:v>
      </x:c>
      <x:c r="B141" s="57" t="n">
        <x:v>11</x:v>
      </x:c>
      <x:c r="C141" s="59" t="str">
        <x:v>Outstanding Principal EOD</x:v>
      </x:c>
      <x:c r="D141" s="59" t="str">
        <x:v>Physical / Price</x:v>
      </x:c>
      <x:c r="E141" s="57" t="str">
        <x:v>OLAP only</x:v>
      </x:c>
      <x:c r="F141" s="57" t="str">
        <x:v>-</x:v>
      </x:c>
      <x:c r="G141" s="59" t="str">
        <x:v>Stores the financially material source value for Outstanding Principal EOD.</x:v>
      </x:c>
      <x:c r="H141" s="59" t="str">
        <x:v>Stored source column</x:v>
      </x:c>
    </x:row>
    <x:row r="142" ht="15" customHeight="1">
      <x:c r="A142" s="57" t="str">
        <x:v>Daily Analytics</x:v>
      </x:c>
      <x:c r="B142" s="57" t="n">
        <x:v>12</x:v>
      </x:c>
      <x:c r="C142" s="59" t="str">
        <x:v>Active Loans EOD</x:v>
      </x:c>
      <x:c r="D142" s="59" t="str">
        <x:v>Physical / Number</x:v>
      </x:c>
      <x:c r="E142" s="57" t="str">
        <x:v>OLAP only</x:v>
      </x:c>
      <x:c r="F142" s="57" t="str">
        <x:v>-</x:v>
      </x:c>
      <x:c r="G142" s="59" t="str">
        <x:v>Stores the authoritative source value for Active Loans EOD.</x:v>
      </x:c>
      <x:c r="H142" s="59" t="str">
        <x:v>Stored source column</x:v>
      </x:c>
    </x:row>
    <x:row r="143" ht="15" customHeight="1">
      <x:c r="A143" s="57" t="str">
        <x:v>Daily Analytics</x:v>
      </x:c>
      <x:c r="B143" s="57" t="n">
        <x:v>13</x:v>
      </x:c>
      <x:c r="C143" s="59" t="str">
        <x:v>Active Borrowers EOD</x:v>
      </x:c>
      <x:c r="D143" s="59" t="str">
        <x:v>Physical / Number</x:v>
      </x:c>
      <x:c r="E143" s="57" t="str">
        <x:v>OLAP only</x:v>
      </x:c>
      <x:c r="F143" s="57" t="str">
        <x:v>-</x:v>
      </x:c>
      <x:c r="G143" s="59" t="str">
        <x:v>Stores the authoritative source value for Active Borrowers EOD.</x:v>
      </x:c>
      <x:c r="H143" s="59" t="str">
        <x:v>Stored source column</x:v>
      </x:c>
    </x:row>
    <x:row r="144" ht="15" customHeight="1">
      <x:c r="A144" s="57" t="str">
        <x:v>Daily Analytics</x:v>
      </x:c>
      <x:c r="B144" s="57" t="n">
        <x:v>14</x:v>
      </x:c>
      <x:c r="C144" s="59" t="str">
        <x:v>Pending Charges EOD</x:v>
      </x:c>
      <x:c r="D144" s="59" t="str">
        <x:v>Physical / Price</x:v>
      </x:c>
      <x:c r="E144" s="57" t="str">
        <x:v>OLAP only</x:v>
      </x:c>
      <x:c r="F144" s="57" t="str">
        <x:v>-</x:v>
      </x:c>
      <x:c r="G144" s="59" t="str">
        <x:v>Stores the authoritative source value for Pending Charges EOD.</x:v>
      </x:c>
      <x:c r="H144" s="59" t="str">
        <x:v>Stored source column</x:v>
      </x:c>
    </x:row>
    <x:row r="145" ht="15" customHeight="1">
      <x:c r="A145" s="57" t="str">
        <x:v>Daily Analytics</x:v>
      </x:c>
      <x:c r="B145" s="57" t="n">
        <x:v>15</x:v>
      </x:c>
      <x:c r="C145" s="59" t="str">
        <x:v>Total Cash Pool EOD</x:v>
      </x:c>
      <x:c r="D145" s="59" t="str">
        <x:v>Physical / Price</x:v>
      </x:c>
      <x:c r="E145" s="57" t="str">
        <x:v>OLAP only</x:v>
      </x:c>
      <x:c r="F145" s="57" t="str">
        <x:v>-</x:v>
      </x:c>
      <x:c r="G145" s="59" t="str">
        <x:v>Stores the financially material source value for Total Cash Pool EOD.</x:v>
      </x:c>
      <x:c r="H145" s="59" t="str">
        <x:v>Stored source column</x:v>
      </x:c>
    </x:row>
    <x:row r="146" ht="15" customHeight="1">
      <x:c r="A146" s="57" t="str">
        <x:v>Daily Analytics</x:v>
      </x:c>
      <x:c r="B146" s="57" t="n">
        <x:v>16</x:v>
      </x:c>
      <x:c r="C146" s="59" t="str">
        <x:v>Available Cash EOD</x:v>
      </x:c>
      <x:c r="D146" s="59" t="str">
        <x:v>Physical / Price</x:v>
      </x:c>
      <x:c r="E146" s="57" t="str">
        <x:v>OLAP only</x:v>
      </x:c>
      <x:c r="F146" s="57" t="str">
        <x:v>-</x:v>
      </x:c>
      <x:c r="G146" s="59" t="str">
        <x:v>Stores the financially material source value for Available Cash EOD.</x:v>
      </x:c>
      <x:c r="H146" s="59" t="str">
        <x:v>Stored source column</x:v>
      </x:c>
    </x:row>
    <x:row r="147" ht="15" customHeight="1">
      <x:c r="A147" s="57" t="str">
        <x:v>Daily Analytics</x:v>
      </x:c>
      <x:c r="B147" s="57" t="n">
        <x:v>17</x:v>
      </x:c>
      <x:c r="C147" s="59" t="str">
        <x:v>Unsettled Profit EOD</x:v>
      </x:c>
      <x:c r="D147" s="59" t="str">
        <x:v>Physical / Price</x:v>
      </x:c>
      <x:c r="E147" s="57" t="str">
        <x:v>OLAP only</x:v>
      </x:c>
      <x:c r="F147" s="57" t="str">
        <x:v>-</x:v>
      </x:c>
      <x:c r="G147" s="59" t="str">
        <x:v>Stores the financially material source value for Unsettled Profit EOD.</x:v>
      </x:c>
      <x:c r="H147" s="59" t="str">
        <x:v>Stored source column</x:v>
      </x:c>
    </x:row>
    <x:row r="148" ht="15" customHeight="1">
      <x:c r="A148" s="57" t="str">
        <x:v>Daily Analytics</x:v>
      </x:c>
      <x:c r="B148" s="57" t="n">
        <x:v>18</x:v>
      </x:c>
      <x:c r="C148" s="59" t="str">
        <x:v>Week</x:v>
      </x:c>
      <x:c r="D148" s="59" t="str">
        <x:v>VC / Text</x:v>
      </x:c>
      <x:c r="E148" s="57" t="str">
        <x:v>OLAP only</x:v>
      </x:c>
      <x:c r="F148" s="57" t="str">
        <x:v>-</x:v>
      </x:c>
      <x:c r="G148" s="59" t="str">
        <x:v>Derived date, time-window, age, or delinquency measure.</x:v>
      </x:c>
      <x:c r="H148" s="59" t="str">
        <x:v>CONCATENATE( YEAR([Snapshot Date]), "-W", WEEKNUM([Snapshot Date]))</x:v>
      </x:c>
    </x:row>
    <x:row r="149" ht="15" customHeight="1">
      <x:c r="A149" s="57" t="str">
        <x:v>Daily Analytics</x:v>
      </x:c>
      <x:c r="B149" s="57" t="n">
        <x:v>19</x:v>
      </x:c>
      <x:c r="C149" s="59" t="str">
        <x:v>Month</x:v>
      </x:c>
      <x:c r="D149" s="59" t="str">
        <x:v>VC / Text</x:v>
      </x:c>
      <x:c r="E149" s="57" t="str">
        <x:v>OLAP only</x:v>
      </x:c>
      <x:c r="F149" s="57" t="str">
        <x:v>-</x:v>
      </x:c>
      <x:c r="G149" s="59" t="str">
        <x:v>Derived date, time-window, age, or delinquency measure.</x:v>
      </x:c>
      <x:c r="H149" s="59" t="str">
        <x:v>CONCATENATE( YEAR([Snapshot Date]), "-", RIGHT( "0" &amp; MONTH([Snapshot Date]), 2 ))</x:v>
      </x:c>
    </x:row>
    <x:row r="150" ht="15" customHeight="1">
      <x:c r="A150" s="57" t="str">
        <x:v>Daily Analytics</x:v>
      </x:c>
      <x:c r="B150" s="57" t="n">
        <x:v>20</x:v>
      </x:c>
      <x:c r="C150" s="59" t="str">
        <x:v>Daily Capital Employed</x:v>
      </x:c>
      <x:c r="D150" s="59" t="str">
        <x:v>VC / Price</x:v>
      </x:c>
      <x:c r="E150" s="57" t="str">
        <x:v>OLAP only</x:v>
      </x:c>
      <x:c r="F150" s="57" t="str">
        <x:v>-</x:v>
      </x:c>
      <x:c r="G150" s="59" t="str">
        <x:v>Derived AppSheet value used by the app workflow, presentation, or reporting model.</x:v>
      </x:c>
      <x:c r="H150" s="59" t="str">
        <x:v>[Outstanding Principal EOD]+[Principal Returned]</x:v>
      </x:c>
    </x:row>
    <x:row r="151" ht="15" customHeight="1">
      <x:c r="A151" s="57" t="str">
        <x:v>Daily Analytics</x:v>
      </x:c>
      <x:c r="B151" s="57" t="n">
        <x:v>21</x:v>
      </x:c>
      <x:c r="C151" s="59" t="str">
        <x:v>Daily Capital Yield</x:v>
      </x:c>
      <x:c r="D151" s="59" t="str">
        <x:v>VC / Percent</x:v>
      </x:c>
      <x:c r="E151" s="57" t="str">
        <x:v>OLAP only</x:v>
      </x:c>
      <x:c r="F151" s="57" t="str">
        <x:v>-</x:v>
      </x:c>
      <x:c r="G151" s="59" t="str">
        <x:v>Derived ratio or performance measure calculated from governed source values.</x:v>
      </x:c>
      <x:c r="H151" s="59" t="str">
        <x:v>IF( [Daily Capital Employed] &gt; 0, [Interest Received] / [Daily Capital Employed], 0)</x:v>
      </x:c>
    </x:row>
    <x:row r="152" ht="21.600000381469727" customHeight="1">
      <x:c r="A152" s="57" t="str">
        <x:v>Daily Analytics</x:v>
      </x:c>
      <x:c r="B152" s="57" t="n">
        <x:v>22</x:v>
      </x:c>
      <x:c r="C152" s="59" t="str">
        <x:v>Portfolio Share Join Key</x:v>
      </x:c>
      <x:c r="D152" s="59" t="str">
        <x:v>VC / Text</x:v>
      </x:c>
      <x:c r="E152" s="57" t="str">
        <x:v>OLAP only</x:v>
      </x:c>
      <x:c r="F152" s="57" t="str">
        <x:v>-</x:v>
      </x:c>
      <x:c r="G152" s="59" t="str">
        <x:v>Derived grouping, ordering, or join value used by reporting or app presentation.</x:v>
      </x:c>
      <x:c r="H152" s="59" t="str">
        <x:v>"Portfolio"</x:v>
      </x:c>
    </x:row>
    <x:row r="153" ht="21.600000381469727" customHeight="1">
      <x:c r="A153" s="57" t="str">
        <x:v>Daily Analytics</x:v>
      </x:c>
      <x:c r="B153" s="57" t="n">
        <x:v>23</x:v>
      </x:c>
      <x:c r="C153" s="59" t="str">
        <x:v>Portfolio Slice</x:v>
      </x:c>
      <x:c r="D153" s="59" t="str">
        <x:v>VC / Text</x:v>
      </x:c>
      <x:c r="E153" s="57" t="str">
        <x:v>OLAP only</x:v>
      </x:c>
      <x:c r="F153" s="57" t="str">
        <x:v>-</x:v>
      </x:c>
      <x:c r="G153" s="59" t="str">
        <x:v>Derived grouping, ordering, or join value used by reporting or app presentation.</x:v>
      </x:c>
      <x:c r="H153" s="59" t="str">
        <x:v>IF(MOD(DAY([Snapshot Date]), 2) = 0, "Selected borrower", "Remaining")</x:v>
      </x:c>
    </x:row>
    <x:row r="154" ht="15" customHeight="1">
      <x:c r="A154" s="57" t="str">
        <x:v>Loan Assessment</x:v>
      </x:c>
      <x:c r="B154" s="57" t="n">
        <x:v>1</x:v>
      </x:c>
      <x:c r="C154" s="59" t="str">
        <x:v>_RowNumber</x:v>
      </x:c>
      <x:c r="D154" s="59" t="str">
        <x:v>Physical / Number</x:v>
      </x:c>
      <x:c r="E154" s="57" t="str">
        <x:v>OLAP only</x:v>
      </x:c>
      <x:c r="F154" s="57" t="str">
        <x:v>-</x:v>
      </x:c>
      <x:c r="G154" s="59" t="str">
        <x:v>System-generated source-row ordinal; not a stable business key.</x:v>
      </x:c>
      <x:c r="H154" s="59" t="str">
        <x:v>Stored source column</x:v>
      </x:c>
    </x:row>
    <x:row r="155" ht="15" customHeight="1">
      <x:c r="A155" s="57" t="str">
        <x:v>Loan Assessment</x:v>
      </x:c>
      <x:c r="B155" s="57" t="n">
        <x:v>2</x:v>
      </x:c>
      <x:c r="C155" s="59" t="str">
        <x:v>Row ID</x:v>
      </x:c>
      <x:c r="D155" s="59" t="str">
        <x:v>Physical / Text</x:v>
      </x:c>
      <x:c r="E155" s="57" t="str">
        <x:v>OLAP only</x:v>
      </x:c>
      <x:c r="F155" s="57" t="str">
        <x:v>Key, Required</x:v>
      </x:c>
      <x:c r="G155" s="59" t="str">
        <x:v>Immutable row key generated by the source database.</x:v>
      </x:c>
      <x:c r="H155" s="59" t="str">
        <x:v>Stored source column; initial value: UNIQUEID("PackedUUID")</x:v>
      </x:c>
    </x:row>
    <x:row r="156" ht="15" customHeight="1">
      <x:c r="A156" s="57" t="str">
        <x:v>Loan Assessment</x:v>
      </x:c>
      <x:c r="B156" s="57" t="n">
        <x:v>3</x:v>
      </x:c>
      <x:c r="C156" s="59" t="str">
        <x:v>Assessment ID</x:v>
      </x:c>
      <x:c r="D156" s="59" t="str">
        <x:v>Physical / Text</x:v>
      </x:c>
      <x:c r="E156" s="57" t="str">
        <x:v>OLAP only</x:v>
      </x:c>
      <x:c r="F156" s="57" t="str">
        <x:v>Label</x:v>
      </x:c>
      <x:c r="G156" s="59" t="str">
        <x:v>Stores the authoritative source value for Assessment ID.</x:v>
      </x:c>
      <x:c r="H156" s="59" t="str">
        <x:v>Stored source column</x:v>
      </x:c>
    </x:row>
    <x:row r="157" ht="15" customHeight="1">
      <x:c r="A157" s="57" t="str">
        <x:v>Loan Assessment</x:v>
      </x:c>
      <x:c r="B157" s="57" t="n">
        <x:v>4</x:v>
      </x:c>
      <x:c r="C157" s="59" t="str">
        <x:v>Ref Borrower</x:v>
      </x:c>
      <x:c r="D157" s="59" t="str">
        <x:v>Physical / Ref</x:v>
      </x:c>
      <x:c r="E157" s="57" t="str">
        <x:v>OLAP only</x:v>
      </x:c>
      <x:c r="F157" s="57" t="str">
        <x:v>-</x:v>
      </x:c>
      <x:c r="G157" s="59" t="str">
        <x:v>Reference key that links this row to the configured parent table.</x:v>
      </x:c>
      <x:c r="H157" s="59" t="str">
        <x:v>Stored source column</x:v>
      </x:c>
    </x:row>
    <x:row r="158" ht="15" customHeight="1">
      <x:c r="A158" s="57" t="str">
        <x:v>Loan Assessment</x:v>
      </x:c>
      <x:c r="B158" s="57" t="n">
        <x:v>5</x:v>
      </x:c>
      <x:c r="C158" s="59" t="str">
        <x:v>Proposed Loan Amount</x:v>
      </x:c>
      <x:c r="D158" s="59" t="str">
        <x:v>Physical / Price</x:v>
      </x:c>
      <x:c r="E158" s="57" t="str">
        <x:v>OLAP only</x:v>
      </x:c>
      <x:c r="F158" s="57" t="str">
        <x:v>-</x:v>
      </x:c>
      <x:c r="G158" s="59" t="str">
        <x:v>Stores the financially material source value for Proposed Loan Amount.</x:v>
      </x:c>
      <x:c r="H158" s="59" t="str">
        <x:v>Stored source column</x:v>
      </x:c>
    </x:row>
    <x:row r="159" ht="15" customHeight="1">
      <x:c r="A159" s="57" t="str">
        <x:v>Loan Assessment</x:v>
      </x:c>
      <x:c r="B159" s="57" t="n">
        <x:v>6</x:v>
      </x:c>
      <x:c r="C159" s="59" t="str">
        <x:v>Minimum Daily Profit Rate</x:v>
      </x:c>
      <x:c r="D159" s="59" t="str">
        <x:v>Physical / Percent</x:v>
      </x:c>
      <x:c r="E159" s="57" t="str">
        <x:v>OLAP only</x:v>
      </x:c>
      <x:c r="F159" s="57" t="str">
        <x:v>-</x:v>
      </x:c>
      <x:c r="G159" s="59" t="str">
        <x:v>Stores the financially material source value for Minimum Daily Profit Rate.</x:v>
      </x:c>
      <x:c r="H159" s="59" t="str">
        <x:v>Stored source column</x:v>
      </x:c>
    </x:row>
    <x:row r="160" ht="15" customHeight="1">
      <x:c r="A160" s="57" t="str">
        <x:v>Loan Assessment</x:v>
      </x:c>
      <x:c r="B160" s="57" t="n">
        <x:v>7</x:v>
      </x:c>
      <x:c r="C160" s="59" t="str">
        <x:v>Current Outstanding Principal</x:v>
      </x:c>
      <x:c r="D160" s="59" t="str">
        <x:v>VC / Price</x:v>
      </x:c>
      <x:c r="E160" s="57" t="str">
        <x:v>OLAP only</x:v>
      </x:c>
      <x:c r="F160" s="57" t="str">
        <x:v>-</x:v>
      </x:c>
      <x:c r="G160" s="59" t="str">
        <x:v>Derived financial aggregate or balance for operational or analytical use.</x:v>
      </x:c>
      <x:c r="H160" s="59" t="str">
        <x:v>SUM( SELECT( Loans[Outstanding Principal], AND([Ref Borrowers] = [_THISROW].[Ref Borrower], [Loan Status] = "ยังไม่ปิดยอด") ))</x:v>
      </x:c>
    </x:row>
    <x:row r="161" ht="15" customHeight="1">
      <x:c r="A161" s="57" t="str">
        <x:v>Loan Assessment</x:v>
      </x:c>
      <x:c r="B161" s="57" t="n">
        <x:v>8</x:v>
      </x:c>
      <x:c r="C161" s="59" t="str">
        <x:v>Interest Earned from Active Loans</x:v>
      </x:c>
      <x:c r="D161" s="59" t="str">
        <x:v>VC / Price</x:v>
      </x:c>
      <x:c r="E161" s="57" t="str">
        <x:v>OLAP only</x:v>
      </x:c>
      <x:c r="F161" s="57" t="str">
        <x:v>-</x:v>
      </x:c>
      <x:c r="G161" s="59" t="str">
        <x:v>Derived count used for workload, portfolio, or risk analysis.</x:v>
      </x:c>
      <x:c r="H161" s="59" t="str">
        <x:v>SUM( SELECT( Loans[Total Interest Received], AND([Ref Borrowers] = [_THISROW].[Ref Borrower], [Loan Status] = "ยังไม่ปิดยอด") ))</x:v>
      </x:c>
    </x:row>
    <x:row r="162" ht="15" customHeight="1">
      <x:c r="A162" s="57" t="str">
        <x:v>Loan Assessment</x:v>
      </x:c>
      <x:c r="B162" s="57" t="n">
        <x:v>9</x:v>
      </x:c>
      <x:c r="C162" s="59" t="str">
        <x:v>Earliest Eligible Date</x:v>
      </x:c>
      <x:c r="D162" s="59" t="str">
        <x:v>VC / Date</x:v>
      </x:c>
      <x:c r="E162" s="57" t="str">
        <x:v>OLAP only</x:v>
      </x:c>
      <x:c r="F162" s="57" t="str">
        <x:v>-</x:v>
      </x:c>
      <x:c r="G162" s="59" t="str">
        <x:v>Derived business-state or risk indicator.</x:v>
      </x:c>
      <x:c r="H162" s="59" t="str">
        <x:v>MIN(SELECT(Calendar[Date], AND([Date] &gt;= TODAY(), [Eligible] = TRUE)))</x:v>
      </x:c>
    </x:row>
    <x:row r="163" ht="21.600000381469727" customHeight="1">
      <x:c r="A163" s="57" t="str">
        <x:v>Loan Assessment</x:v>
      </x:c>
      <x:c r="B163" s="57" t="n">
        <x:v>10</x:v>
      </x:c>
      <x:c r="C163" s="59" t="str">
        <x:v>Days Until Eligible</x:v>
      </x:c>
      <x:c r="D163" s="59" t="str">
        <x:v>VC / Number</x:v>
      </x:c>
      <x:c r="E163" s="57" t="str">
        <x:v>OLAP only</x:v>
      </x:c>
      <x:c r="F163" s="57" t="str">
        <x:v>-</x:v>
      </x:c>
      <x:c r="G163" s="59" t="str">
        <x:v>Derived business-state or risk indicator.</x:v>
      </x:c>
      <x:c r="H163" s="59" t="str">
        <x:v>IF( ISBLANK([Earliest Eligible Date]), "", TOTALHOURS([Earliest Eligible Date] - TODAY()) / 24)</x:v>
      </x:c>
    </x:row>
    <x:row r="164" ht="64.80000305175781" customHeight="1">
      <x:c r="A164" s="57" t="str">
        <x:v>Loan Assessment</x:v>
      </x:c>
      <x:c r="B164" s="57" t="n">
        <x:v>11</x:v>
      </x:c>
      <x:c r="C164" s="59" t="str">
        <x:v>Projected Interest at Eligible Date</x:v>
      </x:c>
      <x:c r="D164" s="59" t="str">
        <x:v>VC / Price</x:v>
      </x:c>
      <x:c r="E164" s="57" t="str">
        <x:v>OLAP only</x:v>
      </x:c>
      <x:c r="F164" s="57" t="str">
        <x:v>-</x:v>
      </x:c>
      <x:c r="G164" s="59" t="str">
        <x:v>Derived business-state or risk indicator.</x:v>
      </x:c>
      <x:c r="H164" s="59" t="str">
        <x:v>LOOKUP([Earliest Eligible Date], "Calendar", "Date", "Projected Interest")</x:v>
      </x:c>
    </x:row>
    <x:row r="165" ht="15" customHeight="1">
      <x:c r="A165" s="57" t="str">
        <x:v>Loan Assessment</x:v>
      </x:c>
      <x:c r="B165" s="57" t="n">
        <x:v>12</x:v>
      </x:c>
      <x:c r="C165" s="59" t="str">
        <x:v>Outstanding Principal at Eligible Date</x:v>
      </x:c>
      <x:c r="D165" s="59" t="str">
        <x:v>VC / Price</x:v>
      </x:c>
      <x:c r="E165" s="57" t="str">
        <x:v>OLAP only</x:v>
      </x:c>
      <x:c r="F165" s="57" t="str">
        <x:v>-</x:v>
      </x:c>
      <x:c r="G165" s="59" t="str">
        <x:v>Derived business-state or risk indicator.</x:v>
      </x:c>
      <x:c r="H165" s="59" t="str">
        <x:v>LOOKUP( [Earliest Eligible Date], "Calendar", "Date", "Projected Outstanding Principal")</x:v>
      </x:c>
    </x:row>
    <x:row r="166" ht="15" customHeight="1">
      <x:c r="A166" s="57" t="str">
        <x:v>Loan Assessment</x:v>
      </x:c>
      <x:c r="B166" s="57" t="n">
        <x:v>13</x:v>
      </x:c>
      <x:c r="C166" s="59" t="str">
        <x:v>Minimum Profit at Eligible Date</x:v>
      </x:c>
      <x:c r="D166" s="59" t="str">
        <x:v>VC / Price</x:v>
      </x:c>
      <x:c r="E166" s="57" t="str">
        <x:v>OLAP only</x:v>
      </x:c>
      <x:c r="F166" s="57" t="str">
        <x:v>-</x:v>
      </x:c>
      <x:c r="G166" s="59" t="str">
        <x:v>Derived business-state or risk indicator.</x:v>
      </x:c>
      <x:c r="H166" s="59" t="str">
        <x:v>LOOKUP( [Earliest Eligible Date], "Calendar", "Date", "Minimum Required Profit")</x:v>
      </x:c>
    </x:row>
    <x:row r="167" ht="15" customHeight="1">
      <x:c r="A167" s="57" t="str">
        <x:v>Loan Assessment</x:v>
      </x:c>
      <x:c r="B167" s="57" t="n">
        <x:v>14</x:v>
      </x:c>
      <x:c r="C167" s="59" t="str">
        <x:v>Required Coverage at Eligible Date</x:v>
      </x:c>
      <x:c r="D167" s="59" t="str">
        <x:v>VC / Price</x:v>
      </x:c>
      <x:c r="E167" s="57" t="str">
        <x:v>OLAP only</x:v>
      </x:c>
      <x:c r="F167" s="57" t="str">
        <x:v>-</x:v>
      </x:c>
      <x:c r="G167" s="59" t="str">
        <x:v>Derived ratio or performance measure calculated from governed source values.</x:v>
      </x:c>
      <x:c r="H167" s="59" t="str">
        <x:v>LOOKUP( [Earliest Eligible Date], "Calendar", "Date", "Required Coverage")</x:v>
      </x:c>
    </x:row>
    <x:row r="168" ht="15" customHeight="1">
      <x:c r="A168" s="57" t="str">
        <x:v>Loan Assessment</x:v>
      </x:c>
      <x:c r="B168" s="57" t="n">
        <x:v>15</x:v>
      </x:c>
      <x:c r="C168" s="59" t="str">
        <x:v>Safety Margin</x:v>
      </x:c>
      <x:c r="D168" s="59" t="str">
        <x:v>VC / Price</x:v>
      </x:c>
      <x:c r="E168" s="57" t="str">
        <x:v>OLAP only</x:v>
      </x:c>
      <x:c r="F168" s="57" t="str">
        <x:v>-</x:v>
      </x:c>
      <x:c r="G168" s="59" t="str">
        <x:v>Derived AppSheet value used by the app workflow, presentation, or reporting model.</x:v>
      </x:c>
      <x:c r="H168" s="59" t="str">
        <x:v>LOOKUP( [Earliest Eligible Date], "Calendar", "Date", "Coverage Margin")</x:v>
      </x:c>
    </x:row>
    <x:row r="169" ht="15" customHeight="1">
      <x:c r="A169" s="57" t="str">
        <x:v>Loan Assessment</x:v>
      </x:c>
      <x:c r="B169" s="57" t="n">
        <x:v>16</x:v>
      </x:c>
      <x:c r="C169" s="59" t="str">
        <x:v>Current Coverage Margin</x:v>
      </x:c>
      <x:c r="D169" s="59" t="str">
        <x:v>VC / Price</x:v>
      </x:c>
      <x:c r="E169" s="57" t="str">
        <x:v>OLAP only</x:v>
      </x:c>
      <x:c r="F169" s="57" t="str">
        <x:v>-</x:v>
      </x:c>
      <x:c r="G169" s="59" t="str">
        <x:v>Derived ratio or performance measure calculated from governed source values.</x:v>
      </x:c>
      <x:c r="H169" s="59" t="str">
        <x:v>LOOKUP( TODAY(), "Calendar", "Date", "Coverage Margin")</x:v>
      </x:c>
    </x:row>
    <x:row r="170" ht="15" customHeight="1">
      <x:c r="A170" s="57" t="str">
        <x:v>Loan Assessment</x:v>
      </x:c>
      <x:c r="B170" s="57" t="n">
        <x:v>17</x:v>
      </x:c>
      <x:c r="C170" s="59" t="str">
        <x:v>Coverage Ratio at Eligible Date</x:v>
      </x:c>
      <x:c r="D170" s="59" t="str">
        <x:v>VC / Percent</x:v>
      </x:c>
      <x:c r="E170" s="57" t="str">
        <x:v>OLAP only</x:v>
      </x:c>
      <x:c r="F170" s="57" t="str">
        <x:v>-</x:v>
      </x:c>
      <x:c r="G170" s="59" t="str">
        <x:v>Derived ratio or performance measure calculated from governed source values.</x:v>
      </x:c>
      <x:c r="H170" s="59" t="str">
        <x:v>IF( [Required Coverage at Eligible Date] &gt; 0, [Projected Interest at Eligible Date] / [Required Coverage at Eligible Date], 0)</x:v>
      </x:c>
    </x:row>
    <x:row r="171" ht="15" customHeight="1">
      <x:c r="A171" s="57" t="str">
        <x:v>Loan Assessment</x:v>
      </x:c>
      <x:c r="B171" s="57" t="n">
        <x:v>18</x:v>
      </x:c>
      <x:c r="C171" s="59" t="str">
        <x:v>Recommendation Status</x:v>
      </x:c>
      <x:c r="D171" s="59" t="str">
        <x:v>VC / Text</x:v>
      </x:c>
      <x:c r="E171" s="57" t="str">
        <x:v>OLAP only</x:v>
      </x:c>
      <x:c r="F171" s="57" t="str">
        <x:v>-</x:v>
      </x:c>
      <x:c r="G171" s="59" t="str">
        <x:v>Derived business-state or risk indicator.</x:v>
      </x:c>
      <x:c r="H171" s="59" t="str">
        <x:v>IFS( ISBLANK([Earliest Eligible Date]), "ยังไม่ผ่านเกณฑ์ - Not Eligible", [Earliest Eligible Date] &lt;= TODAY(), "ปล่อยกู้ได้ตอนนี้ - Eligible Now", TRUE, "ควรรอก่อน - Wait")</x:v>
      </x:c>
    </x:row>
    <x:row r="172" ht="15" customHeight="1">
      <x:c r="A172" s="57" t="str">
        <x:v>Loan Assessment</x:v>
      </x:c>
      <x:c r="B172" s="57" t="n">
        <x:v>19</x:v>
      </x:c>
      <x:c r="C172" s="59" t="str">
        <x:v>Recommendation</x:v>
      </x:c>
      <x:c r="D172" s="59" t="str">
        <x:v>VC / Text</x:v>
      </x:c>
      <x:c r="E172" s="57" t="str">
        <x:v>OLAP only</x:v>
      </x:c>
      <x:c r="F172" s="57" t="str">
        <x:v>-</x:v>
      </x:c>
      <x:c r="G172" s="59" t="str">
        <x:v>Derived AppSheet value used by the app workflow, presentation, or reporting model.</x:v>
      </x:c>
      <x:c r="H172" s="59" t="str">
        <x:v>IFS( ISBLANK([Ref Borrower]), "กรุณาเลือกผู้กู้ / Select a borrower", OR(ISBLANK([Proposed Loan Amount]), [Proposed Loan Amount] &lt;= 0), "กรุณากรอกวงเงินกู้ที่เสนอ / Enter the proposed loan amount", OR(ISBLANK([Minimum Daily Profit Rate]), [Minimum Daily Profit Rate] &lt;= 0), "กรุณากรอกอัตรากำไรขั้นต่ำ / Enter the minimum profit rate", ISBLANK([Earliest Eligible Date]), "ไม่พบวันที่ผ่านเกณฑ์ภายในช่วงเวลาที่ประเมิน / No eligible date found within the forecast period", [Earliest Eligible Date] = TODAY(), "สามารถปล่อยกู้ได้วันนี้ / Eligible to issue the loan today", TRUE, CONCATENATE( "วันที่แนะนำให้ปล่อยกู้ได้เร็วที่สุด / Earliest recommended issue date: ", TEXT([Earliest Eligible Date], "DD/MM/YYYY") ))</x:v>
      </x:c>
    </x:row>
    <x:row r="173" ht="15" customHeight="1">
      <x:c r="A173" s="57" t="str">
        <x:v>Loan Assessment</x:v>
      </x:c>
      <x:c r="B173" s="57" t="n">
        <x:v>20</x:v>
      </x:c>
      <x:c r="C173" s="59" t="str">
        <x:v>Header - Current Position</x:v>
      </x:c>
      <x:c r="D173" s="59" t="str">
        <x:v>VC / Text</x:v>
      </x:c>
      <x:c r="E173" s="57" t="str">
        <x:v>OLAP only</x:v>
      </x:c>
      <x:c r="F173" s="57" t="str">
        <x:v>-</x:v>
      </x:c>
      <x:c r="G173" s="59" t="str">
        <x:v>Presentation-oriented label or bilingual display value.</x:v>
      </x:c>
      <x:c r="H173" s="59" t="str">
        <x:v>"──── สถานะปัจจุบัน / Current Position ────"</x:v>
      </x:c>
    </x:row>
    <x:row r="174" ht="15" customHeight="1">
      <x:c r="A174" s="57" t="str">
        <x:v>Loan Assessment</x:v>
      </x:c>
      <x:c r="B174" s="57" t="n">
        <x:v>21</x:v>
      </x:c>
      <x:c r="C174" s="59" t="str">
        <x:v>Header - Recommendation</x:v>
      </x:c>
      <x:c r="D174" s="59" t="str">
        <x:v>VC / Text</x:v>
      </x:c>
      <x:c r="E174" s="57" t="str">
        <x:v>OLAP only</x:v>
      </x:c>
      <x:c r="F174" s="57" t="str">
        <x:v>-</x:v>
      </x:c>
      <x:c r="G174" s="59" t="str">
        <x:v>Presentation-oriented label or bilingual display value.</x:v>
      </x:c>
      <x:c r="H174" s="59" t="str">
        <x:v>"──── คำแนะนำ / Recommendation ────"</x:v>
      </x:c>
    </x:row>
    <x:row r="175" ht="15" customHeight="1">
      <x:c r="A175" s="57" t="str">
        <x:v>Loan Assessment</x:v>
      </x:c>
      <x:c r="B175" s="57" t="n">
        <x:v>22</x:v>
      </x:c>
      <x:c r="C175" s="59" t="str">
        <x:v>Header - Calculation</x:v>
      </x:c>
      <x:c r="D175" s="59" t="str">
        <x:v>VC / Text</x:v>
      </x:c>
      <x:c r="E175" s="57" t="str">
        <x:v>OLAP only</x:v>
      </x:c>
      <x:c r="F175" s="57" t="str">
        <x:v>-</x:v>
      </x:c>
      <x:c r="G175" s="59" t="str">
        <x:v>Presentation-oriented label or bilingual display value.</x:v>
      </x:c>
      <x:c r="H175" s="59" t="str">
        <x:v>"──── รายละเอียดการคำนวณ / Calculation ────"</x:v>
      </x:c>
    </x:row>
    <x:row r="176" ht="15" customHeight="1">
      <x:c r="A176" s="57" t="str">
        <x:v>Loans</x:v>
      </x:c>
      <x:c r="B176" s="57" t="n">
        <x:v>1</x:v>
      </x:c>
      <x:c r="C176" s="59" t="str">
        <x:v>_RowNumber</x:v>
      </x:c>
      <x:c r="D176" s="59" t="str">
        <x:v>Physical / Number</x:v>
      </x:c>
      <x:c r="E176" s="57" t="str">
        <x:v>OLTP + OLAP</x:v>
      </x:c>
      <x:c r="F176" s="57" t="str">
        <x:v>-</x:v>
      </x:c>
      <x:c r="G176" s="59" t="str">
        <x:v>System-generated source-row ordinal; not a stable business key.</x:v>
      </x:c>
      <x:c r="H176" s="59" t="str">
        <x:v>Stored source column</x:v>
      </x:c>
    </x:row>
    <x:row r="177" ht="15" customHeight="1">
      <x:c r="A177" s="57" t="str">
        <x:v>Loans</x:v>
      </x:c>
      <x:c r="B177" s="57" t="n">
        <x:v>2</x:v>
      </x:c>
      <x:c r="C177" s="59" t="str">
        <x:v>Row ID</x:v>
      </x:c>
      <x:c r="D177" s="59" t="str">
        <x:v>Physical / Text</x:v>
      </x:c>
      <x:c r="E177" s="57" t="str">
        <x:v>OLTP + OLAP</x:v>
      </x:c>
      <x:c r="F177" s="57" t="str">
        <x:v>Key, Required</x:v>
      </x:c>
      <x:c r="G177" s="59" t="str">
        <x:v>Immutable row key generated by the source database.</x:v>
      </x:c>
      <x:c r="H177" s="59" t="str">
        <x:v>Stored source column; initial value: UNIQUEID("PackedUUID")</x:v>
      </x:c>
    </x:row>
    <x:row r="178" ht="15" customHeight="1">
      <x:c r="A178" s="57" t="str">
        <x:v>Loans</x:v>
      </x:c>
      <x:c r="B178" s="57" t="n">
        <x:v>3</x:v>
      </x:c>
      <x:c r="C178" s="59" t="str">
        <x:v>Loan Date</x:v>
      </x:c>
      <x:c r="D178" s="59" t="str">
        <x:v>Physical / Date</x:v>
      </x:c>
      <x:c r="E178" s="57" t="str">
        <x:v>OLTP + OLAP</x:v>
      </x:c>
      <x:c r="F178" s="57" t="str">
        <x:v>OLTP: Required; OLAP: -</x:v>
      </x:c>
      <x:c r="G178" s="59" t="str">
        <x:v>Stores the source date for Loan Date.</x:v>
      </x:c>
      <x:c r="H178" s="59" t="str">
        <x:v>Stored source column; initial value: TODAY()</x:v>
      </x:c>
    </x:row>
    <x:row r="179" ht="15" customHeight="1">
      <x:c r="A179" s="57" t="str">
        <x:v>Loans</x:v>
      </x:c>
      <x:c r="B179" s="57" t="n">
        <x:v>4</x:v>
      </x:c>
      <x:c r="C179" s="59" t="str">
        <x:v>Close Date</x:v>
      </x:c>
      <x:c r="D179" s="59" t="str">
        <x:v>Physical / Date</x:v>
      </x:c>
      <x:c r="E179" s="57" t="str">
        <x:v>OLTP + OLAP</x:v>
      </x:c>
      <x:c r="F179" s="57" t="str">
        <x:v>-</x:v>
      </x:c>
      <x:c r="G179" s="59" t="str">
        <x:v>Stores the source date for Close Date.</x:v>
      </x:c>
      <x:c r="H179" s="59" t="str">
        <x:v>Stored source column; initial value: TODAY()</x:v>
      </x:c>
    </x:row>
    <x:row r="180" ht="15" customHeight="1">
      <x:c r="A180" s="57" t="str">
        <x:v>Loans</x:v>
      </x:c>
      <x:c r="B180" s="57" t="n">
        <x:v>5</x:v>
      </x:c>
      <x:c r="C180" s="59" t="str">
        <x:v>Principal Amount</x:v>
      </x:c>
      <x:c r="D180" s="59" t="str">
        <x:v>Physical / Price</x:v>
      </x:c>
      <x:c r="E180" s="57" t="str">
        <x:v>OLTP + OLAP</x:v>
      </x:c>
      <x:c r="F180" s="57" t="str">
        <x:v>OLTP: Required; OLAP: -</x:v>
      </x:c>
      <x:c r="G180" s="59" t="str">
        <x:v>Stores the financially material source value for Principal Amount.</x:v>
      </x:c>
      <x:c r="H180" s="59" t="str">
        <x:v>Stored source column</x:v>
      </x:c>
    </x:row>
    <x:row r="181" ht="15" customHeight="1">
      <x:c r="A181" s="57" t="str">
        <x:v>Loans</x:v>
      </x:c>
      <x:c r="B181" s="57" t="n">
        <x:v>6</x:v>
      </x:c>
      <x:c r="C181" s="59" t="str">
        <x:v>Due Date</x:v>
      </x:c>
      <x:c r="D181" s="59" t="str">
        <x:v>Physical / Date</x:v>
      </x:c>
      <x:c r="E181" s="57" t="str">
        <x:v>OLTP + OLAP</x:v>
      </x:c>
      <x:c r="F181" s="57" t="str">
        <x:v>-</x:v>
      </x:c>
      <x:c r="G181" s="59" t="str">
        <x:v>Stores the source date for Due Date.</x:v>
      </x:c>
      <x:c r="H181" s="59" t="str">
        <x:v>Stored source column; initial value: TODAY()</x:v>
      </x:c>
    </x:row>
    <x:row r="182" ht="15" customHeight="1">
      <x:c r="A182" s="57" t="str">
        <x:v>Loans</x:v>
      </x:c>
      <x:c r="B182" s="57" t="n">
        <x:v>7</x:v>
      </x:c>
      <x:c r="C182" s="59" t="str">
        <x:v>Ref Borrowers</x:v>
      </x:c>
      <x:c r="D182" s="59" t="str">
        <x:v>Physical / Ref</x:v>
      </x:c>
      <x:c r="E182" s="57" t="str">
        <x:v>OLTP + OLAP</x:v>
      </x:c>
      <x:c r="F182" s="57" t="str">
        <x:v>-</x:v>
      </x:c>
      <x:c r="G182" s="59" t="str">
        <x:v>Reference key that links this row to the configured parent table.</x:v>
      </x:c>
      <x:c r="H182" s="59" t="str">
        <x:v>Stored source column</x:v>
      </x:c>
    </x:row>
    <x:row r="183" ht="15" customHeight="1">
      <x:c r="A183" s="57" t="str">
        <x:v>Loans</x:v>
      </x:c>
      <x:c r="B183" s="57" t="n">
        <x:v>8</x:v>
      </x:c>
      <x:c r="C183" s="59" t="str">
        <x:v>Loan Arrangement</x:v>
      </x:c>
      <x:c r="D183" s="59" t="str">
        <x:v>Physical / LongText</x:v>
      </x:c>
      <x:c r="E183" s="57" t="str">
        <x:v>OLTP + OLAP</x:v>
      </x:c>
      <x:c r="F183" s="57" t="str">
        <x:v>-</x:v>
      </x:c>
      <x:c r="G183" s="59" t="str">
        <x:v>Stores the authoritative source value for Loan Arrangement.</x:v>
      </x:c>
      <x:c r="H183" s="59" t="str">
        <x:v>Stored source column</x:v>
      </x:c>
    </x:row>
    <x:row r="184" ht="15" customHeight="1">
      <x:c r="A184" s="57" t="str">
        <x:v>Loans</x:v>
      </x:c>
      <x:c r="B184" s="57" t="n">
        <x:v>9</x:v>
      </x:c>
      <x:c r="C184" s="59" t="str">
        <x:v>Loan Status</x:v>
      </x:c>
      <x:c r="D184" s="59" t="str">
        <x:v>Physical / Enum</x:v>
      </x:c>
      <x:c r="E184" s="57" t="str">
        <x:v>OLTP + OLAP</x:v>
      </x:c>
      <x:c r="F184" s="57" t="str">
        <x:v>OLTP: Required; OLAP: -</x:v>
      </x:c>
      <x:c r="G184" s="59" t="str">
        <x:v>Stores the controlled workflow state for Loan Status.</x:v>
      </x:c>
      <x:c r="H184" s="59" t="str">
        <x:v>Stored source column; initial value: "ยังไม่ปิดยอด"</x:v>
      </x:c>
    </x:row>
    <x:row r="185" ht="15" customHeight="1">
      <x:c r="A185" s="57" t="str">
        <x:v>Loans</x:v>
      </x:c>
      <x:c r="B185" s="57" t="n">
        <x:v>10</x:v>
      </x:c>
      <x:c r="C185" s="59" t="str">
        <x:v>Borrower Name</x:v>
      </x:c>
      <x:c r="D185" s="59" t="str">
        <x:v>Physical / Name</x:v>
      </x:c>
      <x:c r="E185" s="57" t="str">
        <x:v>OLTP + OLAP</x:v>
      </x:c>
      <x:c r="F185" s="57" t="str">
        <x:v>-</x:v>
      </x:c>
      <x:c r="G185" s="59" t="str">
        <x:v>Stores the authoritative source value for Borrower Name.</x:v>
      </x:c>
      <x:c r="H185" s="59" t="str">
        <x:v>Stored source column</x:v>
      </x:c>
    </x:row>
    <x:row r="186" ht="15" customHeight="1">
      <x:c r="A186" s="57" t="str">
        <x:v>Loans</x:v>
      </x:c>
      <x:c r="B186" s="57" t="n">
        <x:v>11</x:v>
      </x:c>
      <x:c r="C186" s="59" t="str">
        <x:v>Loan Type</x:v>
      </x:c>
      <x:c r="D186" s="59" t="str">
        <x:v>Physical / Enum</x:v>
      </x:c>
      <x:c r="E186" s="57" t="str">
        <x:v>OLTP + OLAP</x:v>
      </x:c>
      <x:c r="F186" s="57" t="str">
        <x:v>OLTP: Required; OLAP: -</x:v>
      </x:c>
      <x:c r="G186" s="59" t="str">
        <x:v>Stores the authoritative source value for Loan Type.</x:v>
      </x:c>
      <x:c r="H186" s="59" t="str">
        <x:v>Stored source column; production source/OLTP enum values: "กำหนดวันชำระ", "ดอกเบี้ยรายวัน", "ผ่อนชำระรายวัน"</x:v>
      </x:c>
    </x:row>
    <x:row r="187" ht="15" customHeight="1">
      <x:c r="A187" s="57" t="str">
        <x:v>Loans</x:v>
      </x:c>
      <x:c r="B187" s="57" t="n">
        <x:v>12</x:v>
      </x:c>
      <x:c r="C187" s="59" t="str">
        <x:v>Current Daily Interest</x:v>
      </x:c>
      <x:c r="D187" s="59" t="str">
        <x:v>Physical / Price</x:v>
      </x:c>
      <x:c r="E187" s="57" t="str">
        <x:v>OLTP + OLAP</x:v>
      </x:c>
      <x:c r="F187" s="57" t="str">
        <x:v>-</x:v>
      </x:c>
      <x:c r="G187" s="59" t="str">
        <x:v>Stores the financially material source value for Current Daily Interest.</x:v>
      </x:c>
      <x:c r="H187" s="59" t="str">
        <x:v>Stored source column</x:v>
      </x:c>
    </x:row>
    <x:row r="188" ht="15" customHeight="1">
      <x:c r="A188" s="57" t="str">
        <x:v>Loans</x:v>
      </x:c>
      <x:c r="B188" s="57" t="n">
        <x:v>13</x:v>
      </x:c>
      <x:c r="C188" s="59" t="str">
        <x:v>Fixed Interest</x:v>
      </x:c>
      <x:c r="D188" s="59" t="str">
        <x:v>Physical / Price</x:v>
      </x:c>
      <x:c r="E188" s="57" t="str">
        <x:v>OLTP + OLAP</x:v>
      </x:c>
      <x:c r="F188" s="57" t="str">
        <x:v>-</x:v>
      </x:c>
      <x:c r="G188" s="59" t="str">
        <x:v>Stores the financially material source value for Fixed Interest.</x:v>
      </x:c>
      <x:c r="H188" s="59" t="str">
        <x:v>Stored source column</x:v>
      </x:c>
    </x:row>
    <x:row r="189" ht="15" customHeight="1">
      <x:c r="A189" s="57" t="str">
        <x:v>Loans</x:v>
      </x:c>
      <x:c r="B189" s="57" t="n">
        <x:v>14</x:v>
      </x:c>
      <x:c r="C189" s="59" t="str">
        <x:v>Transfer Fee</x:v>
      </x:c>
      <x:c r="D189" s="59" t="str">
        <x:v>Physical / Price</x:v>
      </x:c>
      <x:c r="E189" s="57" t="str">
        <x:v>OLTP + OLAP</x:v>
      </x:c>
      <x:c r="F189" s="57" t="str">
        <x:v>-</x:v>
      </x:c>
      <x:c r="G189" s="59" t="str">
        <x:v>Stores the financially material source value for Transfer Fee.</x:v>
      </x:c>
      <x:c r="H189" s="59" t="str">
        <x:v>Stored source column; initial value: 0</x:v>
      </x:c>
    </x:row>
    <x:row r="190" ht="15" customHeight="1">
      <x:c r="A190" s="57" t="str">
        <x:v>Loans</x:v>
      </x:c>
      <x:c r="B190" s="57" t="n">
        <x:v>15</x:v>
      </x:c>
      <x:c r="C190" s="59" t="str">
        <x:v>Interest Payment Interval</x:v>
      </x:c>
      <x:c r="D190" s="59" t="str">
        <x:v>Physical / Number</x:v>
      </x:c>
      <x:c r="E190" s="57" t="str">
        <x:v>OLTP + OLAP</x:v>
      </x:c>
      <x:c r="F190" s="57" t="str">
        <x:v>-</x:v>
      </x:c>
      <x:c r="G190" s="59" t="str">
        <x:v>Stores the financially material source value for Interest Payment Interval.</x:v>
      </x:c>
      <x:c r="H190" s="59" t="str">
        <x:v>Stored source column; initial value: 1</x:v>
      </x:c>
    </x:row>
    <x:row r="191" ht="15" customHeight="1">
      <x:c r="A191" s="57" t="str">
        <x:v>Loans</x:v>
      </x:c>
      <x:c r="B191" s="57" t="n">
        <x:v>16</x:v>
      </x:c>
      <x:c r="C191" s="59" t="str">
        <x:v>Created By</x:v>
      </x:c>
      <x:c r="D191" s="59" t="str">
        <x:v>Physical / Email</x:v>
      </x:c>
      <x:c r="E191" s="57" t="str">
        <x:v>OLTP + OLAP</x:v>
      </x:c>
      <x:c r="F191" s="57" t="str">
        <x:v>-</x:v>
      </x:c>
      <x:c r="G191" s="59" t="str">
        <x:v>Stores the authoritative source value for Created By.</x:v>
      </x:c>
      <x:c r="H191" s="59" t="str">
        <x:v>Stored source column; initial value: USEREMAIL()</x:v>
      </x:c>
    </x:row>
    <x:row r="192" ht="15" customHeight="1">
      <x:c r="A192" s="57" t="str">
        <x:v>Loans</x:v>
      </x:c>
      <x:c r="B192" s="57" t="n">
        <x:v>17</x:v>
      </x:c>
      <x:c r="C192" s="59" t="str">
        <x:v>Closed By</x:v>
      </x:c>
      <x:c r="D192" s="59" t="str">
        <x:v>Physical / Email</x:v>
      </x:c>
      <x:c r="E192" s="57" t="str">
        <x:v>OLTP + OLAP</x:v>
      </x:c>
      <x:c r="F192" s="57" t="str">
        <x:v>-</x:v>
      </x:c>
      <x:c r="G192" s="59" t="str">
        <x:v>Stores the authoritative source value for Closed By.</x:v>
      </x:c>
      <x:c r="H192" s="59" t="str">
        <x:v>Stored source column</x:v>
      </x:c>
    </x:row>
    <x:row r="193" ht="15" customHeight="1">
      <x:c r="A193" s="57" t="str">
        <x:v>Loans</x:v>
      </x:c>
      <x:c r="B193" s="57" t="n">
        <x:v>18</x:v>
      </x:c>
      <x:c r="C193" s="59" t="str">
        <x:v>Defaulted</x:v>
      </x:c>
      <x:c r="D193" s="59" t="str">
        <x:v>Physical / Yes/No</x:v>
      </x:c>
      <x:c r="E193" s="57" t="str">
        <x:v>OLTP + OLAP</x:v>
      </x:c>
      <x:c r="F193" s="57" t="str">
        <x:v>-</x:v>
      </x:c>
      <x:c r="G193" s="59" t="str">
        <x:v>Stores the authoritative source value for Defaulted.</x:v>
      </x:c>
      <x:c r="H193" s="59" t="str">
        <x:v>Stored source column; initial value: FALSE</x:v>
      </x:c>
    </x:row>
    <x:row r="194" ht="15" customHeight="1">
      <x:c r="A194" s="57" t="str">
        <x:v>Loans</x:v>
      </x:c>
      <x:c r="B194" s="57" t="n">
        <x:v>19</x:v>
      </x:c>
      <x:c r="C194" s="59" t="str">
        <x:v>Default Loss Amount</x:v>
      </x:c>
      <x:c r="D194" s="59" t="str">
        <x:v>Physical / Price</x:v>
      </x:c>
      <x:c r="E194" s="57" t="str">
        <x:v>OLTP + OLAP</x:v>
      </x:c>
      <x:c r="F194" s="57" t="str">
        <x:v>-</x:v>
      </x:c>
      <x:c r="G194" s="59" t="str">
        <x:v>Stores the financially material source value for Default Loss Amount.</x:v>
      </x:c>
      <x:c r="H194" s="59" t="str">
        <x:v>Stored source column; initial value: 0</x:v>
      </x:c>
    </x:row>
    <x:row r="195" ht="21.600000381469727" customHeight="1">
      <x:c r="A195" s="57" t="str">
        <x:v>Loans</x:v>
      </x:c>
      <x:c r="B195" s="57" t="n">
        <x:v>20</x:v>
      </x:c>
      <x:c r="C195" s="59" t="str">
        <x:v>Daily Payment Amount</x:v>
      </x:c>
      <x:c r="D195" s="59" t="str">
        <x:v>Physical / Price</x:v>
      </x:c>
      <x:c r="E195" s="57" t="str">
        <x:v>OLTP + OLAP</x:v>
      </x:c>
      <x:c r="F195" s="57" t="str">
        <x:v>OLTP: Required_If/Show_If and whole-baht validation for "ผ่อนชำระรายวัน"; OLAP: loaded read-only; decimal digits 0</x:v>
      </x:c>
      <x:c r="G195" s="59" t="str">
        <x:v>Contract payment amount per scheduled day for a daily-installment loan; interval charges combine elapsed days.</x:v>
      </x:c>
      <x:c r="H195" s="59" t="str">
        <x:v>Stored source column; display name: "ยอดชำระรายวัน / Daily Payment Amount"; OLTP form validation remains app-specific; OLAP description states that interval charges combine elapsed days</x:v>
      </x:c>
    </x:row>
    <x:row r="196" ht="32.400001525878906" customHeight="1">
      <x:c r="A196" s="57" t="str">
        <x:v>Loans</x:v>
      </x:c>
      <x:c r="B196" s="57" t="n">
        <x:v>21</x:v>
      </x:c>
      <x:c r="C196" s="59" t="str">
        <x:v>Related Repayments</x:v>
      </x:c>
      <x:c r="D196" s="59" t="str">
        <x:v>VC / List</x:v>
      </x:c>
      <x:c r="E196" s="57" t="str">
        <x:v>OLTP + OLAP</x:v>
      </x:c>
      <x:c r="F196" s="57" t="str">
        <x:v>-</x:v>
      </x:c>
      <x:c r="G196" s="59" t="str">
        <x:v>Reverse-reference list of child rows that point to this record.</x:v>
      </x:c>
      <x:c r="H196" s="59" t="str">
        <x:v>REF_ROWS("Repayments", "Ref Loans")</x:v>
      </x:c>
    </x:row>
    <x:row r="197" ht="21.600000381469727" customHeight="1">
      <x:c r="A197" s="57" t="str">
        <x:v>Loans</x:v>
      </x:c>
      <x:c r="B197" s="57" t="n">
        <x:v>22</x:v>
      </x:c>
      <x:c r="C197" s="59" t="str">
        <x:v>Total Interest Received</x:v>
      </x:c>
      <x:c r="D197" s="59" t="str">
        <x:v>VC / Price</x:v>
      </x:c>
      <x:c r="E197" s="57" t="str">
        <x:v>OLTP + OLAP</x:v>
      </x:c>
      <x:c r="F197" s="57" t="str">
        <x:v>-</x:v>
      </x:c>
      <x:c r="G197" s="59" t="str">
        <x:v>Derived financial aggregate or balance for operational or analytical use.</x:v>
      </x:c>
      <x:c r="H197" s="59" t="str">
        <x:v>SUM([Related Repayments][Interest Paid])</x:v>
      </x:c>
    </x:row>
    <x:row r="198" ht="15" customHeight="1">
      <x:c r="A198" s="57" t="str">
        <x:v>Loans</x:v>
      </x:c>
      <x:c r="B198" s="57" t="n">
        <x:v>23</x:v>
      </x:c>
      <x:c r="C198" s="59" t="str">
        <x:v>Total Principal Received</x:v>
      </x:c>
      <x:c r="D198" s="59" t="str">
        <x:v>VC / Price</x:v>
      </x:c>
      <x:c r="E198" s="57" t="str">
        <x:v>OLTP + OLAP</x:v>
      </x:c>
      <x:c r="F198" s="57" t="str">
        <x:v>-</x:v>
      </x:c>
      <x:c r="G198" s="59" t="str">
        <x:v>Derived financial aggregate or balance for operational or analytical use.</x:v>
      </x:c>
      <x:c r="H198" s="59" t="str">
        <x:v>SUM([Related Repayments][Principal Paid])</x:v>
      </x:c>
    </x:row>
    <x:row r="199" ht="21.600000381469727" customHeight="1">
      <x:c r="A199" s="57" t="str">
        <x:v>Loans</x:v>
      </x:c>
      <x:c r="B199" s="57" t="n">
        <x:v>24</x:v>
      </x:c>
      <x:c r="C199" s="59" t="str">
        <x:v>Outstanding Principal</x:v>
      </x:c>
      <x:c r="D199" s="59" t="str">
        <x:v>VC / Price</x:v>
      </x:c>
      <x:c r="E199" s="57" t="str">
        <x:v>OLTP + OLAP</x:v>
      </x:c>
      <x:c r="F199" s="57" t="str">
        <x:v>-</x:v>
      </x:c>
      <x:c r="G199" s="59" t="str">
        <x:v>Derived financial aggregate or balance for operational or analytical use.</x:v>
      </x:c>
      <x:c r="H199" s="59" t="str">
        <x:v>[Principal Amount] - [Total Principal Received]</x:v>
      </x:c>
    </x:row>
    <x:row r="200" ht="15" customHeight="1">
      <x:c r="A200" s="57" t="str">
        <x:v>Loans</x:v>
      </x:c>
      <x:c r="B200" s="57" t="n">
        <x:v>25</x:v>
      </x:c>
      <x:c r="C200" s="59" t="str">
        <x:v>Total Amount Received</x:v>
      </x:c>
      <x:c r="D200" s="59" t="str">
        <x:v>VC / Price</x:v>
      </x:c>
      <x:c r="E200" s="57" t="str">
        <x:v>OLTP + OLAP</x:v>
      </x:c>
      <x:c r="F200" s="57" t="str">
        <x:v>-</x:v>
      </x:c>
      <x:c r="G200" s="59" t="str">
        <x:v>Derived financial aggregate or balance for operational or analytical use.</x:v>
      </x:c>
      <x:c r="H200" s="59" t="str">
        <x:v>SUM([Related Repayments][Amount Received])</x:v>
      </x:c>
    </x:row>
    <x:row r="201" ht="15" customHeight="1">
      <x:c r="A201" s="57" t="str">
        <x:v>Loans</x:v>
      </x:c>
      <x:c r="B201" s="57" t="n">
        <x:v>26</x:v>
      </x:c>
      <x:c r="C201" s="59" t="str">
        <x:v>Statistics Header</x:v>
      </x:c>
      <x:c r="D201" s="59" t="str">
        <x:v>VC / Text</x:v>
      </x:c>
      <x:c r="E201" s="57" t="str">
        <x:v>OLTP + OLAP</x:v>
      </x:c>
      <x:c r="F201" s="57" t="str">
        <x:v>-</x:v>
      </x:c>
      <x:c r="G201" s="59" t="str">
        <x:v>Presentation-oriented label or bilingual display value.</x:v>
      </x:c>
      <x:c r="H201" s="59" t="str">
        <x:v>"📊 สถิติการกู้ / Statistics"</x:v>
      </x:c>
    </x:row>
    <x:row r="202" ht="15" customHeight="1">
      <x:c r="A202" s="57" t="str">
        <x:v>Loans</x:v>
      </x:c>
      <x:c r="B202" s="57" t="n">
        <x:v>27</x:v>
      </x:c>
      <x:c r="C202" s="59" t="str">
        <x:v>Borrower Total Interest</x:v>
      </x:c>
      <x:c r="D202" s="59" t="str">
        <x:v>VC / Price</x:v>
      </x:c>
      <x:c r="E202" s="57" t="str">
        <x:v>OLAP only</x:v>
      </x:c>
      <x:c r="F202" s="57" t="str">
        <x:v>-</x:v>
      </x:c>
      <x:c r="G202" s="59" t="str">
        <x:v>Derived financial aggregate or balance for operational or analytical use.</x:v>
      </x:c>
      <x:c r="H202" s="59" t="str">
        <x:v>SUM( SELECT( Loans[Total Interest Received], [Ref Borrowers] = [_THISROW].[Ref Borrowers] ))</x:v>
      </x:c>
    </x:row>
    <x:row r="203" ht="15" customHeight="1">
      <x:c r="A203" s="57" t="str">
        <x:v>Loans</x:v>
      </x:c>
      <x:c r="B203" s="57" t="n">
        <x:v>28</x:v>
      </x:c>
      <x:c r="C203" s="59" t="str">
        <x:v>Related Charges</x:v>
      </x:c>
      <x:c r="D203" s="59" t="str">
        <x:v>VC / List</x:v>
      </x:c>
      <x:c r="E203" s="57" t="str">
        <x:v>OLTP + OLAP</x:v>
      </x:c>
      <x:c r="F203" s="57" t="str">
        <x:v>-</x:v>
      </x:c>
      <x:c r="G203" s="59" t="str">
        <x:v>Reverse-reference list of child rows that point to this record.</x:v>
      </x:c>
      <x:c r="H203" s="59" t="str">
        <x:v>REF_ROWS("Charges", "Ref Loans")</x:v>
      </x:c>
    </x:row>
    <x:row r="204" ht="15" customHeight="1">
      <x:c r="A204" s="57" t="str">
        <x:v>Loans</x:v>
      </x:c>
      <x:c r="B204" s="57" t="n">
        <x:v>29</x:v>
      </x:c>
      <x:c r="C204" s="59" t="str">
        <x:v>Loan Key</x:v>
      </x:c>
      <x:c r="D204" s="59" t="str">
        <x:v>VC / Text</x:v>
      </x:c>
      <x:c r="E204" s="57" t="str">
        <x:v>OLTP + OLAP</x:v>
      </x:c>
      <x:c r="F204" s="57" t="str">
        <x:v>Label</x:v>
      </x:c>
      <x:c r="G204" s="59" t="str">
        <x:v>Derived AppSheet value used by the app workflow, presentation, or reporting model.</x:v>
      </x:c>
      <x:c r="H204" s="59" t="str">
        <x:v>CONCATENATE( [Borrower Name], "-", TEXT([Principal Amount]), "-", TEXT([Loan Date], "DD/MM"), "-", TEXT([Effective Daily Interest Rate]))</x:v>
      </x:c>
    </x:row>
    <x:row r="205" ht="15" customHeight="1">
      <x:c r="A205" s="57" t="str">
        <x:v>Loans</x:v>
      </x:c>
      <x:c r="B205" s="57" t="n">
        <x:v>30</x:v>
      </x:c>
      <x:c r="C205" s="59" t="str">
        <x:v>Expected Interest This Month</x:v>
      </x:c>
      <x:c r="D205" s="59" t="str">
        <x:v>VC / Price</x:v>
      </x:c>
      <x:c r="E205" s="57" t="str">
        <x:v>OLTP + OLAP</x:v>
      </x:c>
      <x:c r="F205" s="57" t="str">
        <x:v>-</x:v>
      </x:c>
      <x:c r="G205" s="59" t="str">
        <x:v>Open-loan current-month interest forecast. Daily-installment interest covers only uncharged contract days after the latest posted Charge through the earlier of Due Date and month-end.</x:v>
      </x:c>
      <x:c r="H205" s="59" t="str">
        <x:v>IF([Loan Status] = "ปิดยอดแล้ว", 0, IFS([Loan Type] = "ดอกเบี้ยรายวัน", MAX(LIST([Current Daily Interest] * 0, [Accrued Interest])) + ([Current Daily Interest] * (DAY(EOMONTH(TODAY(), 0)) - DAY(TODAY()))), [Loan Type] = "กำหนดวันชำระ", IF(AND([Due Date] &gt; TODAY(), MONTH([Due Date]) = MONTH(TODAY()), YEAR([Due Date]) = YEAR(TODAY())), [Fixed Interest], 0), [Loan Type] = "ผ่อนชำระรายวัน", IF(AND(ISNOTBLANK(MAX([Related Charges][Charge Date])), IF([Due Date] &lt; EOMONTH(TODAY(), 0), [Due Date], EOMONTH(TODAY(), 0)) &gt; MAX([Related Charges][Charge Date])), ([Daily Payment Amount] * IF(IF([Due Date] &lt; EOMONTH(TODAY(), 0), [Due Date], EOMONTH(TODAY(), 0)) &gt; MAX([Related Charges][Charge Date]), TOTALHOURS(IF([Due Date] &lt; EOMONTH(TODAY(), 0), [Due Date], EOMONTH(TODAY(), 0)) - MAX([Related Charges][Charge Date])) / 24, 0)) - (FLOOR([Principal Amount] / (TOTALHOURS([Due Date] - [Loan Date]) / 24 + 1)) * IF(IF([Due Date] &lt; EOMONTH(TODAY(), 0), [Due Date], EOMONTH(TODAY(), 0)) &gt; MAX([Related Charges][Charge Date]), TOTALHOURS(IF([Due Date] &lt; EOMONTH(TODAY(), 0), [Due Date], EOMONTH(TODAY(), 0)) - MAX([Related Charges][Charge Date])) / 24, 0) + IF((IF((TOTALHOURS(IF([Due Date] &lt; EOMONTH(TODAY(), 0), [Due Date], EOMONTH(TODAY(), 0)) - [Loan Date]) / 24 + 1) &lt; MOD([Principal Amount], (TOTALHOURS([Due Date] - [Loan Date]) / 24 + 1)), (TOTALHOURS(IF([Due Date] &lt; EOMONTH(TODAY(), 0), [Due Date], EOMONTH(TODAY(), 0)) - [Loan Date]) / 24 + 1), MOD([Principal Amount], (TOTALHOURS([Due Date] - [Loan Date]) / 24 + 1))) - (TOTALHOURS(MAX([Related Charges][Charge Date]) - [Loan Date]) / 24 + 2) + 1) &gt; 0, (IF((TOTALHOURS(IF([Due Date] &lt; EOMONTH(TODAY(), 0), [Due Date], EOMONTH(TODAY(), 0)) - [Loan Date]) / 24 + 1) &lt; MOD([Principal Amount], (TOTALHOURS([Due Date] - [Loan Date]) / 24 + 1)), (TOTALHOURS(IF([Due Date] &lt; EOMONTH(TODAY(), 0), [Due Date], EOMONTH(TODAY(), 0)) - [Loan Date]) / 24 + 1), MOD([Principal Amount], (TOTALHOURS([Due Date] - [Loan Date]) / 24 + 1))) - (TOTALHOURS(MAX([Related Charges][Charge Date]) - [Loan Date]) / 24 + 2) + 1), 0)), 0), TRUE, 0))</x:v>
      </x:c>
    </x:row>
    <x:row r="206" ht="21.600000381469727" customHeight="1">
      <x:c r="A206" s="57" t="str">
        <x:v>Loans</x:v>
      </x:c>
      <x:c r="B206" s="57" t="n">
        <x:v>31</x:v>
      </x:c>
      <x:c r="C206" s="59" t="str">
        <x:v>Effective Daily Interest Rate</x:v>
      </x:c>
      <x:c r="D206" s="59" t="str">
        <x:v>VC / Percent</x:v>
      </x:c>
      <x:c r="E206" s="57" t="str">
        <x:v>OLTP + OLAP</x:v>
      </x:c>
      <x:c r="F206" s="57" t="str">
        <x:v>-</x:v>
      </x:c>
      <x:c r="G206" s="59" t="str">
        <x:v>Derived ratio or performance measure calculated from governed source values.</x:v>
      </x:c>
      <x:c r="H206" s="59" t="str">
        <x:v>IFS([Loan Type] = "ดอกเบี้ยรายวัน", [Current Daily Interest] / [Principal Amount], [Loan Type] = "กำหนดวันชำระ", ([Fixed Interest] / (TOTALHOURS([Due Date] - [Loan Date]) / 24 + 1)) / [Principal Amount], [Loan Type] = "ผ่อนชำระรายวัน", ((([Daily Payment Amount] * (TOTALHOURS([Due Date] - [Loan Date]) / 24 + 1)) - [Principal Amount]) / (TOTALHOURS([Due Date] - [Loan Date]) / 24 + 1)) / [Principal Amount], TRUE, 0)</x:v>
      </x:c>
    </x:row>
    <x:row r="207" ht="21.600000381469727" customHeight="1">
      <x:c r="A207" s="57" t="str">
        <x:v>Loans</x:v>
      </x:c>
      <x:c r="B207" s="57" t="n">
        <x:v>32</x:v>
      </x:c>
      <x:c r="C207" s="59" t="str">
        <x:v>Principal Recovered by Interest %</x:v>
      </x:c>
      <x:c r="D207" s="59" t="str">
        <x:v>VC / Percent</x:v>
      </x:c>
      <x:c r="E207" s="57" t="str">
        <x:v>OLTP + OLAP</x:v>
      </x:c>
      <x:c r="F207" s="57" t="str">
        <x:v>-</x:v>
      </x:c>
      <x:c r="G207" s="59" t="str">
        <x:v>Derived ratio or performance measure calculated from governed source values.</x:v>
      </x:c>
      <x:c r="H207" s="59" t="str">
        <x:v>IF( [Principal Amount] &gt; 0, [Total Interest Received] / [Principal Amount], 0)</x:v>
      </x:c>
    </x:row>
    <x:row r="208" ht="15" customHeight="1">
      <x:c r="A208" s="57" t="str">
        <x:v>Loans</x:v>
      </x:c>
      <x:c r="B208" s="57" t="n">
        <x:v>33</x:v>
      </x:c>
      <x:c r="C208" s="59" t="str">
        <x:v>Principal Days MTD</x:v>
      </x:c>
      <x:c r="D208" s="59" t="str">
        <x:v>VC / Number</x:v>
      </x:c>
      <x:c r="E208" s="57" t="str">
        <x:v>OLTP + OLAP</x:v>
      </x:c>
      <x:c r="F208" s="57" t="str">
        <x:v>-</x:v>
      </x:c>
      <x:c r="G208" s="59" t="str">
        <x:v>Derived date, time-window, age, or delinquency measure.</x:v>
      </x:c>
      <x:c r="H208" s="59" t="str">
        <x:v>IF( [Loan Date] &gt; TODAY(), 0, [Principal Amount] * IF( AND(MONTH([Loan Date]) = MONTH(TODAY()), YEAR([Loan Date]) = YEAR(TODAY())), DAY(TODAY()) - DAY([Loan Date]) + 1, DAY(TODAY()) ))</x:v>
      </x:c>
    </x:row>
    <x:row r="209" ht="21.600000381469727" customHeight="1">
      <x:c r="A209" s="57" t="str">
        <x:v>Loans</x:v>
      </x:c>
      <x:c r="B209" s="57" t="n">
        <x:v>34</x:v>
      </x:c>
      <x:c r="C209" s="59" t="str">
        <x:v>Borrower Name TE</x:v>
      </x:c>
      <x:c r="D209" s="59" t="str">
        <x:v>VC / Text</x:v>
      </x:c>
      <x:c r="E209" s="57" t="str">
        <x:v>OLTP + OLAP</x:v>
      </x:c>
      <x:c r="F209" s="57" t="str">
        <x:v>-</x:v>
      </x:c>
      <x:c r="G209" s="59" t="str">
        <x:v>Presentation-oriented label or bilingual display value.</x:v>
      </x:c>
      <x:c r="H209" s="59" t="str">
        <x:v>[Ref Borrowers].[Borrower Name TE]</x:v>
      </x:c>
    </x:row>
    <x:row r="210" ht="15" customHeight="1">
      <x:c r="A210" s="57" t="str">
        <x:v>Loans</x:v>
      </x:c>
      <x:c r="B210" s="57" t="n">
        <x:v>35</x:v>
      </x:c>
      <x:c r="C210" s="59" t="str">
        <x:v>Loan Status TE</x:v>
      </x:c>
      <x:c r="D210" s="59" t="str">
        <x:v>VC / Text</x:v>
      </x:c>
      <x:c r="E210" s="57" t="str">
        <x:v>OLTP + OLAP</x:v>
      </x:c>
      <x:c r="F210" s="57" t="str">
        <x:v>-</x:v>
      </x:c>
      <x:c r="G210" s="59" t="str">
        <x:v>Presentation-oriented label or bilingual display value.</x:v>
      </x:c>
      <x:c r="H210" s="59" t="str">
        <x:v>IF([Loan Status] = "ปิดยอดแล้ว", "ปิดยอดแล้ว / Closed", "ยังไม่ปิดยอด / Active")</x:v>
      </x:c>
    </x:row>
    <x:row r="211" ht="15" customHeight="1">
      <x:c r="A211" s="57" t="str">
        <x:v>Loans</x:v>
      </x:c>
      <x:c r="B211" s="57" t="n">
        <x:v>36</x:v>
      </x:c>
      <x:c r="C211" s="59" t="str">
        <x:v>Loan Type TE</x:v>
      </x:c>
      <x:c r="D211" s="59" t="str">
        <x:v>VC / Text</x:v>
      </x:c>
      <x:c r="E211" s="57" t="str">
        <x:v>OLTP + OLAP</x:v>
      </x:c>
      <x:c r="F211" s="57" t="str">
        <x:v>-</x:v>
      </x:c>
      <x:c r="G211" s="59" t="str">
        <x:v>Presentation-oriented label or bilingual display value.</x:v>
      </x:c>
      <x:c r="H211" s="59" t="str">
        <x:v>SWITCH([Loan Type], "กำหนดวันชำระ", "กำหนดวันชำระ / Fixed Due Date", "ดอกเบี้ยรายวัน", "ดอกเบี้ยรายวัน / Daily Interest", "ผ่อนชำระรายวัน", "ผ่อนชำระรายวัน / Daily Installment", "ไม่ทราบประเภท / Unknown")</x:v>
      </x:c>
    </x:row>
    <x:row r="212" ht="15" customHeight="1">
      <x:c r="A212" s="57" t="str">
        <x:v>Loans</x:v>
      </x:c>
      <x:c r="B212" s="57" t="n">
        <x:v>37</x:v>
      </x:c>
      <x:c r="C212" s="59" t="str">
        <x:v>Loan Start Day Index</x:v>
      </x:c>
      <x:c r="D212" s="59" t="str">
        <x:v>VC / Decimal</x:v>
      </x:c>
      <x:c r="E212" s="57" t="str">
        <x:v>OLAP only</x:v>
      </x:c>
      <x:c r="F212" s="57" t="str">
        <x:v>-</x:v>
      </x:c>
      <x:c r="G212" s="59" t="str">
        <x:v>Derived AppSheet value used by the app workflow, presentation, or reporting model.</x:v>
      </x:c>
      <x:c r="H212" s="59" t="str">
        <x:v>TOTALHOURS( [Loan Date] - DATE("01/01/2000")) / 24</x:v>
      </x:c>
    </x:row>
    <x:row r="213" ht="21.600000381469727" customHeight="1">
      <x:c r="A213" s="57" t="str">
        <x:v>Loans</x:v>
      </x:c>
      <x:c r="B213" s="57" t="n">
        <x:v>38</x:v>
      </x:c>
      <x:c r="C213" s="59" t="str">
        <x:v>Principal Start Weight</x:v>
      </x:c>
      <x:c r="D213" s="59" t="str">
        <x:v>VC / Decimal</x:v>
      </x:c>
      <x:c r="E213" s="57" t="str">
        <x:v>OLAP only</x:v>
      </x:c>
      <x:c r="F213" s="57" t="str">
        <x:v>-</x:v>
      </x:c>
      <x:c r="G213" s="59" t="str">
        <x:v>Derived financial aggregate or balance for operational or analytical use.</x:v>
      </x:c>
      <x:c r="H213" s="59" t="str">
        <x:v>[Principal Amount] * [Loan Start Day Index]</x:v>
      </x:c>
    </x:row>
    <x:row r="214" ht="15" customHeight="1">
      <x:c r="A214" s="57" t="str">
        <x:v>Loans</x:v>
      </x:c>
      <x:c r="B214" s="57" t="n">
        <x:v>39</x:v>
      </x:c>
      <x:c r="C214" s="59" t="str">
        <x:v>Loan End Date</x:v>
      </x:c>
      <x:c r="D214" s="59" t="str">
        <x:v>VC / Date</x:v>
      </x:c>
      <x:c r="E214" s="57" t="str">
        <x:v>OLAP only</x:v>
      </x:c>
      <x:c r="F214" s="57" t="str">
        <x:v>-</x:v>
      </x:c>
      <x:c r="G214" s="59" t="str">
        <x:v>Derived date, time-window, age, or delinquency measure.</x:v>
      </x:c>
      <x:c r="H214" s="59" t="str">
        <x:v>[Close Date]</x:v>
      </x:c>
    </x:row>
    <x:row r="215" ht="15" customHeight="1">
      <x:c r="A215" s="57" t="str">
        <x:v>Loans</x:v>
      </x:c>
      <x:c r="B215" s="57" t="n">
        <x:v>40</x:v>
      </x:c>
      <x:c r="C215" s="59" t="str">
        <x:v>Loan Duration</x:v>
      </x:c>
      <x:c r="D215" s="59" t="str">
        <x:v>VC / Number</x:v>
      </x:c>
      <x:c r="E215" s="57" t="str">
        <x:v>OLTP + OLAP</x:v>
      </x:c>
      <x:c r="F215" s="57" t="str">
        <x:v>-</x:v>
      </x:c>
      <x:c r="G215" s="59" t="str">
        <x:v>Closed-loan duration in calendar days, based on Close Date and inclusive of the Loan Date.</x:v>
      </x:c>
      <x:c r="H215" s="59" t="str">
        <x:v>IF( ISNOTBLANK([Close Date]), FLOOR(TOTALHOURS([Close Date] - [Loan Date]) / 24) + 1, "")</x:v>
      </x:c>
    </x:row>
    <x:row r="216" ht="15" customHeight="1">
      <x:c r="A216" s="57" t="str">
        <x:v>Loans</x:v>
      </x:c>
      <x:c r="B216" s="57" t="n">
        <x:v>41</x:v>
      </x:c>
      <x:c r="C216" s="59" t="str">
        <x:v>30D Principal Days</x:v>
      </x:c>
      <x:c r="D216" s="59" t="str">
        <x:v>VC / Decimal</x:v>
      </x:c>
      <x:c r="E216" s="57" t="str">
        <x:v>OLAP only</x:v>
      </x:c>
      <x:c r="F216" s="57" t="str">
        <x:v>-</x:v>
      </x:c>
      <x:c r="G216" s="59" t="str">
        <x:v>Derived date, time-window, age, or delinquency measure.</x:v>
      </x:c>
      <x:c r="H216" s="59" t="str">
        <x:v>IF( [Loan Date] &gt; TODAY(), 0, [Principal Amount] * ( FLOOR(TOTALHOURS(TODAY() - MAX(LIST([Loan Date], TODAY() - 29))) / 24) + 1 ))</x:v>
      </x:c>
    </x:row>
    <x:row r="217" ht="15" customHeight="1">
      <x:c r="A217" s="57" t="str">
        <x:v>Loans</x:v>
      </x:c>
      <x:c r="B217" s="57" t="n">
        <x:v>42</x:v>
      </x:c>
      <x:c r="C217" s="59" t="str">
        <x:v>Loan Age Days</x:v>
      </x:c>
      <x:c r="D217" s="59" t="str">
        <x:v>VC / Number</x:v>
      </x:c>
      <x:c r="E217" s="57" t="str">
        <x:v>OLAP only</x:v>
      </x:c>
      <x:c r="F217" s="57" t="str">
        <x:v>-</x:v>
      </x:c>
      <x:c r="G217" s="59" t="str">
        <x:v>Derived date, time-window, age, or delinquency measure.</x:v>
      </x:c>
      <x:c r="H217" s="59" t="str">
        <x:v>FLOOR(TOTALHOURS(TODAY() - [Loan Date]) / 24)</x:v>
      </x:c>
    </x:row>
    <x:row r="218" ht="15" customHeight="1">
      <x:c r="A218" s="57" t="str">
        <x:v>Loans</x:v>
      </x:c>
      <x:c r="B218" s="57" t="n">
        <x:v>43</x:v>
      </x:c>
      <x:c r="C218" s="59" t="str">
        <x:v>Loan Age Bucket</x:v>
      </x:c>
      <x:c r="D218" s="59" t="str">
        <x:v>VC / Text</x:v>
      </x:c>
      <x:c r="E218" s="57" t="str">
        <x:v>OLAP only</x:v>
      </x:c>
      <x:c r="F218" s="57" t="str">
        <x:v>-</x:v>
      </x:c>
      <x:c r="G218" s="59" t="str">
        <x:v>Derived grouping, ordering, or join value used by reporting or app presentation.</x:v>
      </x:c>
      <x:c r="H218" s="59" t="str">
        <x:v>IFS( [Loan Age Days] &lt;= 10, "0-10 Days", [Loan Age Days] &lt;= 20, "11-20 Days", [Loan Age Days] &lt;= 30, "21-30 Days", [Loan Age Days] &lt;= 60, "31-60 Days", TRUE, "60+ Days")</x:v>
      </x:c>
    </x:row>
    <x:row r="219" ht="15" customHeight="1">
      <x:c r="A219" s="57" t="str">
        <x:v>Loans</x:v>
      </x:c>
      <x:c r="B219" s="57" t="n">
        <x:v>44</x:v>
      </x:c>
      <x:c r="C219" s="59" t="str">
        <x:v>Defaulted Flag</x:v>
      </x:c>
      <x:c r="D219" s="59" t="str">
        <x:v>VC / Yes/No</x:v>
      </x:c>
      <x:c r="E219" s="57" t="str">
        <x:v>OLAP only</x:v>
      </x:c>
      <x:c r="F219" s="57" t="str">
        <x:v>-</x:v>
      </x:c>
      <x:c r="G219" s="59" t="str">
        <x:v>Derived business-state or risk indicator.</x:v>
      </x:c>
      <x:c r="H219" s="59" t="str">
        <x:v>IF([Defaulted], TRUE, FALSE)</x:v>
      </x:c>
    </x:row>
    <x:row r="220" ht="15" customHeight="1">
      <x:c r="A220" s="57" t="str">
        <x:v>Loans</x:v>
      </x:c>
      <x:c r="B220" s="57" t="n">
        <x:v>45</x:v>
      </x:c>
      <x:c r="C220" s="59" t="str">
        <x:v>Maximum Days Late</x:v>
      </x:c>
      <x:c r="D220" s="59" t="str">
        <x:v>VC / Number</x:v>
      </x:c>
      <x:c r="E220" s="57" t="str">
        <x:v>OLAP only</x:v>
      </x:c>
      <x:c r="F220" s="57" t="str">
        <x:v>-</x:v>
      </x:c>
      <x:c r="G220" s="59" t="str">
        <x:v>Derived business-state or risk indicator.</x:v>
      </x:c>
      <x:c r="H220" s="59" t="str">
        <x:v>MAX(LIST(0) + SELECT(Charges[Days Late], [Ref Loans] = [_THISROW].[Row ID]))</x:v>
      </x:c>
    </x:row>
    <x:row r="221" ht="15" customHeight="1">
      <x:c r="A221" s="57" t="str">
        <x:v>Loans</x:v>
      </x:c>
      <x:c r="B221" s="57" t="n">
        <x:v>46</x:v>
      </x:c>
      <x:c r="C221" s="59" t="str">
        <x:v>Last Interest Charge Date</x:v>
      </x:c>
      <x:c r="D221" s="59" t="str">
        <x:v>VC / Date</x:v>
      </x:c>
      <x:c r="E221" s="57" t="str">
        <x:v>OLTP + OLAP</x:v>
      </x:c>
      <x:c r="F221" s="57" t="str">
        <x:v>Searchable</x:v>
      </x:c>
      <x:c r="G221" s="59" t="str">
        <x:v>Latest related Charge Date; the lower boundary for calculating uncharged daily-interest accrual.</x:v>
      </x:c>
      <x:c r="H221" s="59" t="str">
        <x:v>MAX([Related Charges][Charge Date])</x:v>
      </x:c>
    </x:row>
    <x:row r="222" ht="15" customHeight="1">
      <x:c r="A222" s="57" t="str">
        <x:v>Loans</x:v>
      </x:c>
      <x:c r="B222" s="57" t="n">
        <x:v>47</x:v>
      </x:c>
      <x:c r="C222" s="59" t="str">
        <x:v>Accrued Interest Days</x:v>
      </x:c>
      <x:c r="D222" s="59" t="str">
        <x:v>VC / Number</x:v>
      </x:c>
      <x:c r="E222" s="57" t="str">
        <x:v>OLTP + OLAP</x:v>
      </x:c>
      <x:c r="F222" s="57" t="str">
        <x:v>-</x:v>
      </x:c>
      <x:c r="G222" s="59" t="str">
        <x:v>Elapsed accrual days since Last Interest Charge Date, or since Loan Date when no interest charge exists.</x:v>
      </x:c>
      <x:c r="H222" s="59" t="str">
        <x:v>IF( ISBLANK([Last Interest Charge Date]), TOTALHOURS(TODAY() - [Loan Date])/24, TOTALHOURS(TODAY() - [Last Interest Charge Date])/24)</x:v>
      </x:c>
    </x:row>
    <x:row r="223" ht="21.600000381469727" customHeight="1">
      <x:c r="A223" s="57" t="str">
        <x:v>Loans</x:v>
      </x:c>
      <x:c r="B223" s="57" t="n">
        <x:v>48</x:v>
      </x:c>
      <x:c r="C223" s="59" t="str">
        <x:v>Accrued Interest</x:v>
      </x:c>
      <x:c r="D223" s="59" t="str">
        <x:v>VC / Price</x:v>
      </x:c>
      <x:c r="E223" s="57" t="str">
        <x:v>OLTP + OLAP</x:v>
      </x:c>
      <x:c r="F223" s="57" t="str">
        <x:v>Show_If: [Loan Type] = "ดอกเบี้ยรายวัน"</x:v>
      </x:c>
      <x:c r="G223" s="59" t="str">
        <x:v>Uncharged interest for a daily-interest loan, calculated from Current Daily Interest and Accrued Interest Days.</x:v>
      </x:c>
      <x:c r="H223" s="59" t="str">
        <x:v>IF( [Loan Type] = "ดอกเบี้ยรายวัน", [Current Daily Interest] * [Accrued Interest Days], 0)</x:v>
      </x:c>
    </x:row>
    <x:row r="224" ht="15" customHeight="1">
      <x:c r="A224" s="57" t="str">
        <x:v>Loans</x:v>
      </x:c>
      <x:c r="B224" s="57" t="n">
        <x:v>49</x:v>
      </x:c>
      <x:c r="C224" s="59" t="str">
        <x:v>Expected Daily Interest Amount</x:v>
      </x:c>
      <x:c r="D224" s="59" t="str">
        <x:v>VC / Price</x:v>
      </x:c>
      <x:c r="E224" s="57" t="str">
        <x:v>OLTP + OLAP</x:v>
      </x:c>
      <x:c r="F224" s="57" t="str">
        <x:v>Hidden in OLTP + OLAP; OLAP Price with 2 decimal digits</x:v>
      </x:c>
      <x:c r="G224" s="59" t="str">
        <x:v>Open-loan daily-interest amount used by operational forecasts: entered daily interest for daily-interest loans and average contract interest for daily-installment loans; zero otherwise.</x:v>
      </x:c>
      <x:c r="H224" s="59" t="str">
        <x:v>IFS( [Loan Status] &lt;&gt; "ยังไม่ปิดยอด", 0, [Loan Type] = "ดอกเบี้ยรายวัน", [Current Daily Interest], AND( [Loan Type] = "ผ่อนชำระรายวัน", ISNOTBLANK([Loan Date]), ISNOTBLANK([Due Date]), [Due Date] &gt;= [Loan Date], [Daily Payment Amount] &gt; 0 ), ( ([Daily Payment Amount] * (TOTALHOURS([Due Date] - [Loan Date]) / 24 + 1)) - [Principal Amount] ) / (TOTALHOURS([Due Date] - [Loan Date]) / 24 + 1), TRUE, 0)</x:v>
      </x:c>
    </x:row>
    <x:row r="225" ht="15" customHeight="1">
      <x:c r="A225" s="57" t="str">
        <x:v>Loans</x:v>
      </x:c>
      <x:c r="B225" s="57" t="n">
        <x:v>50</x:v>
      </x:c>
      <x:c r="C225" s="59" t="str">
        <x:v>Daily Installment Base Principal</x:v>
      </x:c>
      <x:c r="D225" s="59" t="str">
        <x:v>VC / Number</x:v>
      </x:c>
      <x:c r="E225" s="57" t="str">
        <x:v>OLAP only</x:v>
      </x:c>
      <x:c r="F225" s="57" t="str">
        <x:v>Hidden; whole-baht base allocation</x:v>
      </x:c>
      <x:c r="G225" s="59" t="str">
        <x:v>Base principal allocated to every contract day before the one-baht earliest-day remainder is applied.</x:v>
      </x:c>
      <x:c r="H225" s="59" t="str">
        <x:v>IF(
  AND(
    [Loan Type] = "ผ่อนชำระรายวัน",
    ISNOTBLANK([Loan Date]),
    ISNOTBLANK([Due Date]),
    [Due Date] &gt;= [Loan Date]
  ),
  FLOOR(
    [Principal Amount]
    / (TOTALHOURS([Due Date] - [Loan Date]) / 24 + 1)
  ),
  0
)</x:v>
      </x:c>
    </x:row>
    <x:row r="226" ht="15" customHeight="1">
      <x:c r="A226" s="57" t="str">
        <x:v>Partners</x:v>
      </x:c>
      <x:c r="B226" s="57" t="n">
        <x:v>1</x:v>
      </x:c>
      <x:c r="C226" s="59" t="str">
        <x:v>_RowNumber</x:v>
      </x:c>
      <x:c r="D226" s="59" t="str">
        <x:v>Physical / Number</x:v>
      </x:c>
      <x:c r="E226" s="57" t="str">
        <x:v>OLTP + OLAP</x:v>
      </x:c>
      <x:c r="F226" s="57" t="str">
        <x:v>-</x:v>
      </x:c>
      <x:c r="G226" s="59" t="str">
        <x:v>System-generated source-row ordinal; not a stable business key.</x:v>
      </x:c>
      <x:c r="H226" s="59" t="str">
        <x:v>Stored source column</x:v>
      </x:c>
    </x:row>
    <x:row r="227" ht="15" customHeight="1">
      <x:c r="A227" s="57" t="str">
        <x:v>Partners</x:v>
      </x:c>
      <x:c r="B227" s="57" t="n">
        <x:v>2</x:v>
      </x:c>
      <x:c r="C227" s="59" t="str">
        <x:v>Row ID</x:v>
      </x:c>
      <x:c r="D227" s="59" t="str">
        <x:v>Physical / Text</x:v>
      </x:c>
      <x:c r="E227" s="57" t="str">
        <x:v>OLTP + OLAP</x:v>
      </x:c>
      <x:c r="F227" s="57" t="str">
        <x:v>Key, Required</x:v>
      </x:c>
      <x:c r="G227" s="59" t="str">
        <x:v>Immutable row key generated by the source database.</x:v>
      </x:c>
      <x:c r="H227" s="59" t="str">
        <x:v>Stored source column; initial value: UNIQUEID("PackedUUID")</x:v>
      </x:c>
    </x:row>
    <x:row r="228" ht="15" customHeight="1">
      <x:c r="A228" s="57" t="str">
        <x:v>Partners</x:v>
      </x:c>
      <x:c r="B228" s="57" t="n">
        <x:v>3</x:v>
      </x:c>
      <x:c r="C228" s="59" t="str">
        <x:v>Partner Name</x:v>
      </x:c>
      <x:c r="D228" s="59" t="str">
        <x:v>Physical / Name</x:v>
      </x:c>
      <x:c r="E228" s="57" t="str">
        <x:v>OLTP + OLAP</x:v>
      </x:c>
      <x:c r="F228" s="57" t="str">
        <x:v>OLTP: Label; OLAP: Label, Required</x:v>
      </x:c>
      <x:c r="G228" s="59" t="str">
        <x:v>Stores the authoritative source value for Partner Name.</x:v>
      </x:c>
      <x:c r="H228" s="59" t="str">
        <x:v>Stored source column</x:v>
      </x:c>
    </x:row>
    <x:row r="229" ht="21.600000381469727" customHeight="1">
      <x:c r="A229" s="57" t="str">
        <x:v>Partners</x:v>
      </x:c>
      <x:c r="B229" s="57" t="n">
        <x:v>4</x:v>
      </x:c>
      <x:c r="C229" s="59" t="str">
        <x:v>Partner Role</x:v>
      </x:c>
      <x:c r="D229" s="59" t="str">
        <x:v>Physical / Enum</x:v>
      </x:c>
      <x:c r="E229" s="57" t="str">
        <x:v>OLTP + OLAP</x:v>
      </x:c>
      <x:c r="F229" s="57" t="str">
        <x:v>OLTP: -; OLAP: Required</x:v>
      </x:c>
      <x:c r="G229" s="59" t="str">
        <x:v>Stores the authoritative source value for Partner Role.</x:v>
      </x:c>
      <x:c r="H229" s="59" t="str">
        <x:v>Stored source column</x:v>
      </x:c>
    </x:row>
    <x:row r="230" ht="15" customHeight="1">
      <x:c r="A230" s="57" t="str">
        <x:v>Partners</x:v>
      </x:c>
      <x:c r="B230" s="57" t="n">
        <x:v>5</x:v>
      </x:c>
      <x:c r="C230" s="59" t="str">
        <x:v>Email</x:v>
      </x:c>
      <x:c r="D230" s="59" t="str">
        <x:v>Physical / Email</x:v>
      </x:c>
      <x:c r="E230" s="57" t="str">
        <x:v>OLTP + OLAP</x:v>
      </x:c>
      <x:c r="F230" s="57" t="str">
        <x:v>OLTP: PII; OLAP: Required</x:v>
      </x:c>
      <x:c r="G230" s="59" t="str">
        <x:v>Stores the authoritative source value for Email.</x:v>
      </x:c>
      <x:c r="H230" s="59" t="str">
        <x:v>Stored source column</x:v>
      </x:c>
    </x:row>
    <x:row r="231" ht="15" customHeight="1">
      <x:c r="A231" s="57" t="str">
        <x:v>Partners</x:v>
      </x:c>
      <x:c r="B231" s="57" t="n">
        <x:v>6</x:v>
      </x:c>
      <x:c r="C231" s="59" t="str">
        <x:v>Related Cash Pool Contributions</x:v>
      </x:c>
      <x:c r="D231" s="59" t="str">
        <x:v>VC / List</x:v>
      </x:c>
      <x:c r="E231" s="57" t="str">
        <x:v>OLAP only</x:v>
      </x:c>
      <x:c r="F231" s="57" t="str">
        <x:v>-</x:v>
      </x:c>
      <x:c r="G231" s="59" t="str">
        <x:v>Reverse-reference list of child rows that point to this record.</x:v>
      </x:c>
      <x:c r="H231" s="59" t="str">
        <x:v>REF_ROWS("Cash Pool Contributions", "Ref Partner")</x:v>
      </x:c>
    </x:row>
    <x:row r="232" ht="15" customHeight="1">
      <x:c r="A232" s="57" t="str">
        <x:v>Partners</x:v>
      </x:c>
      <x:c r="B232" s="57" t="n">
        <x:v>7</x:v>
      </x:c>
      <x:c r="C232" s="59" t="str">
        <x:v>Related Settlements</x:v>
      </x:c>
      <x:c r="D232" s="59" t="str">
        <x:v>VC / List</x:v>
      </x:c>
      <x:c r="E232" s="57" t="str">
        <x:v>OLAP only</x:v>
      </x:c>
      <x:c r="F232" s="57" t="str">
        <x:v>-</x:v>
      </x:c>
      <x:c r="G232" s="59" t="str">
        <x:v>Reverse-reference list of child rows that point to this record.</x:v>
      </x:c>
      <x:c r="H232" s="59" t="str">
        <x:v>REF_ROWS("Settlements", "Ref Partner")</x:v>
      </x:c>
    </x:row>
    <x:row r="233" ht="15" customHeight="1">
      <x:c r="A233" s="57" t="str">
        <x:v>Partners</x:v>
      </x:c>
      <x:c r="B233" s="57" t="n">
        <x:v>8</x:v>
      </x:c>
      <x:c r="C233" s="59" t="str">
        <x:v>Current Pool Contribution</x:v>
      </x:c>
      <x:c r="D233" s="59" t="str">
        <x:v>VC / Price</x:v>
      </x:c>
      <x:c r="E233" s="57" t="str">
        <x:v>OLAP only</x:v>
      </x:c>
      <x:c r="F233" s="57" t="str">
        <x:v>-</x:v>
      </x:c>
      <x:c r="G233" s="59" t="str">
        <x:v>Derived financial aggregate or balance for operational or analytical use.</x:v>
      </x:c>
      <x:c r="H233" s="59" t="str">
        <x:v>SUM( SELECT( Cash Pool Contributions[Net Contribution], [Ref Partner] = [_THISROW].[Row ID] ))</x:v>
      </x:c>
    </x:row>
    <x:row r="234" ht="15" customHeight="1">
      <x:c r="A234" s="57" t="str">
        <x:v>Partners</x:v>
      </x:c>
      <x:c r="B234" s="57" t="n">
        <x:v>9</x:v>
      </x:c>
      <x:c r="C234" s="59" t="str">
        <x:v>Current Pool Share</x:v>
      </x:c>
      <x:c r="D234" s="59" t="str">
        <x:v>VC / Percent</x:v>
      </x:c>
      <x:c r="E234" s="57" t="str">
        <x:v>OLAP only</x:v>
      </x:c>
      <x:c r="F234" s="57" t="str">
        <x:v>-</x:v>
      </x:c>
      <x:c r="G234" s="59" t="str">
        <x:v>Derived ratio or performance measure calculated from governed source values.</x:v>
      </x:c>
      <x:c r="H234" s="59" t="str">
        <x:v>IF( SUM(Cash Pool Contributions[Net Contribution]) &gt; 0, [Current Pool Contribution] / SUM(Cash Pool Contributions[Net Contribution]), 0)</x:v>
      </x:c>
    </x:row>
    <x:row r="235" ht="21.600000381469727" customHeight="1">
      <x:c r="A235" s="57" t="str">
        <x:v>Partners</x:v>
      </x:c>
      <x:c r="B235" s="57" t="n">
        <x:v>10</x:v>
      </x:c>
      <x:c r="C235" s="59" t="str">
        <x:v>Total Profit Earned</x:v>
      </x:c>
      <x:c r="D235" s="59" t="str">
        <x:v>VC / Price</x:v>
      </x:c>
      <x:c r="E235" s="57" t="str">
        <x:v>OLAP only</x:v>
      </x:c>
      <x:c r="F235" s="57" t="str">
        <x:v>-</x:v>
      </x:c>
      <x:c r="G235" s="59" t="str">
        <x:v>Derived financial aggregate or balance for operational or analytical use.</x:v>
      </x:c>
      <x:c r="H235" s="59" t="str">
        <x:v>IFS( [Partner Role] = "A", SUM(Repayments[Partner A Profit]), [Partner Role] = "B", SUM(Repayments[Partner B Profit]))</x:v>
      </x:c>
    </x:row>
    <x:row r="236" ht="32.400001525878906" customHeight="1">
      <x:c r="A236" s="57" t="str">
        <x:v>Partners</x:v>
      </x:c>
      <x:c r="B236" s="57" t="n">
        <x:v>11</x:v>
      </x:c>
      <x:c r="C236" s="59" t="str">
        <x:v>Total Settlement Created</x:v>
      </x:c>
      <x:c r="D236" s="59" t="str">
        <x:v>VC / Price</x:v>
      </x:c>
      <x:c r="E236" s="57" t="str">
        <x:v>OLAP only</x:v>
      </x:c>
      <x:c r="F236" s="57" t="str">
        <x:v>-</x:v>
      </x:c>
      <x:c r="G236" s="59" t="str">
        <x:v>Derived financial aggregate or balance for operational or analytical use.</x:v>
      </x:c>
      <x:c r="H236" s="59" t="str">
        <x:v>SUM( [Related Settlements][Amount])</x:v>
      </x:c>
    </x:row>
    <x:row r="237" ht="15" customHeight="1">
      <x:c r="A237" s="57" t="str">
        <x:v>Partners</x:v>
      </x:c>
      <x:c r="B237" s="57" t="n">
        <x:v>12</x:v>
      </x:c>
      <x:c r="C237" s="59" t="str">
        <x:v>Completed Settlement</x:v>
      </x:c>
      <x:c r="D237" s="59" t="str">
        <x:v>VC / Price</x:v>
      </x:c>
      <x:c r="E237" s="57" t="str">
        <x:v>OLAP only</x:v>
      </x:c>
      <x:c r="F237" s="57" t="str">
        <x:v>-</x:v>
      </x:c>
      <x:c r="G237" s="59" t="str">
        <x:v>Derived financial aggregate or balance for operational or analytical use.</x:v>
      </x:c>
      <x:c r="H237" s="59" t="str">
        <x:v>SUM( SELECT( Settlements[Amount], AND([Ref Partner] = [_THISROW].[Row ID], [Status] = "Completed") ))</x:v>
      </x:c>
    </x:row>
    <x:row r="238" ht="15" customHeight="1">
      <x:c r="A238" s="57" t="str">
        <x:v>Partners</x:v>
      </x:c>
      <x:c r="B238" s="57" t="n">
        <x:v>13</x:v>
      </x:c>
      <x:c r="C238" s="59" t="str">
        <x:v>Pending Settlement</x:v>
      </x:c>
      <x:c r="D238" s="59" t="str">
        <x:v>VC / Price</x:v>
      </x:c>
      <x:c r="E238" s="57" t="str">
        <x:v>OLAP only</x:v>
      </x:c>
      <x:c r="F238" s="57" t="str">
        <x:v>-</x:v>
      </x:c>
      <x:c r="G238" s="59" t="str">
        <x:v>Derived financial aggregate or balance for operational or analytical use.</x:v>
      </x:c>
      <x:c r="H238" s="59" t="str">
        <x:v>SUM( SELECT( Settlements[Amount], AND([Ref Partner] = [_THISROW].[Row ID], [Status] = "Pending") ))</x:v>
      </x:c>
    </x:row>
    <x:row r="239" ht="15" customHeight="1">
      <x:c r="A239" s="57" t="str">
        <x:v>Partners</x:v>
      </x:c>
      <x:c r="B239" s="57" t="n">
        <x:v>14</x:v>
      </x:c>
      <x:c r="C239" s="59" t="str">
        <x:v>Available to Settle</x:v>
      </x:c>
      <x:c r="D239" s="59" t="str">
        <x:v>VC / Price</x:v>
      </x:c>
      <x:c r="E239" s="57" t="str">
        <x:v>OLAP only</x:v>
      </x:c>
      <x:c r="F239" s="57" t="str">
        <x:v>-</x:v>
      </x:c>
      <x:c r="G239" s="59" t="str">
        <x:v>Derived AppSheet value used by the app workflow, presentation, or reporting model.</x:v>
      </x:c>
      <x:c r="H239" s="59" t="str">
        <x:v>[Total Profit Earned] - [Total Settlement Created]</x:v>
      </x:c>
    </x:row>
    <x:row r="240" ht="15" customHeight="1">
      <x:c r="A240" s="57" t="str">
        <x:v>Partners</x:v>
      </x:c>
      <x:c r="B240" s="57" t="n">
        <x:v>15</x:v>
      </x:c>
      <x:c r="C240" s="59" t="str">
        <x:v>Summary - Available Pending Settlement</x:v>
      </x:c>
      <x:c r="D240" s="59" t="str">
        <x:v>VC / Text</x:v>
      </x:c>
      <x:c r="E240" s="57" t="str">
        <x:v>OLAP only</x:v>
      </x:c>
      <x:c r="F240" s="57" t="str">
        <x:v>-</x:v>
      </x:c>
      <x:c r="G240" s="59" t="str">
        <x:v>Presentation-oriented label or bilingual display value.</x:v>
      </x:c>
      <x:c r="H240" s="59" t="str">
        <x:v>IF( [Pending Settlement] &gt; 0, CONCATENATE("รอโอน / Pending Settlement: ", TEXT([Pending Settlement])), CONCATENATE("พร้อมโอน / Available to Settle: ", TEXT([Available to Settle])))</x:v>
      </x:c>
    </x:row>
    <x:row r="241" ht="15" customHeight="1">
      <x:c r="A241" s="57" t="str">
        <x:v>Partners</x:v>
      </x:c>
      <x:c r="B241" s="57" t="n">
        <x:v>16</x:v>
      </x:c>
      <x:c r="C241" s="59" t="str">
        <x:v>Summary - Completed Settlement</x:v>
      </x:c>
      <x:c r="D241" s="59" t="str">
        <x:v>VC / Text</x:v>
      </x:c>
      <x:c r="E241" s="57" t="str">
        <x:v>OLAP only</x:v>
      </x:c>
      <x:c r="F241" s="57" t="str">
        <x:v>-</x:v>
      </x:c>
      <x:c r="G241" s="59" t="str">
        <x:v>Presentation-oriented label or bilingual display value.</x:v>
      </x:c>
      <x:c r="H241" s="59" t="str">
        <x:v>CONCATENATE("โอนแล้ว / Completed Settlement: ", TEXT([Completed Settlement]))</x:v>
      </x:c>
    </x:row>
    <x:row r="242" ht="21.600000381469727" customHeight="1">
      <x:c r="A242" s="57" t="str">
        <x:v>Partners</x:v>
      </x:c>
      <x:c r="B242" s="57" t="n">
        <x:v>17</x:v>
      </x:c>
      <x:c r="C242" s="59" t="str">
        <x:v>Summary - Total Profit Earned</x:v>
      </x:c>
      <x:c r="D242" s="59" t="str">
        <x:v>VC / Text</x:v>
      </x:c>
      <x:c r="E242" s="57" t="str">
        <x:v>OLAP only</x:v>
      </x:c>
      <x:c r="F242" s="57" t="str">
        <x:v>-</x:v>
      </x:c>
      <x:c r="G242" s="59" t="str">
        <x:v>Presentation-oriented label or bilingual display value.</x:v>
      </x:c>
      <x:c r="H242" s="59" t="str">
        <x:v>CONCATENATE("กำไรรวมที่ได้รับ / Total Profit: ", TEXT([Total Profit Earned]))</x:v>
      </x:c>
    </x:row>
    <x:row r="243" ht="15" customHeight="1">
      <x:c r="A243" s="57" t="str">
        <x:v>Repayments</x:v>
      </x:c>
      <x:c r="B243" s="57" t="n">
        <x:v>1</x:v>
      </x:c>
      <x:c r="C243" s="59" t="str">
        <x:v>_RowNumber</x:v>
      </x:c>
      <x:c r="D243" s="59" t="str">
        <x:v>Physical / Number</x:v>
      </x:c>
      <x:c r="E243" s="57" t="str">
        <x:v>OLTP + OLAP</x:v>
      </x:c>
      <x:c r="F243" s="57" t="str">
        <x:v>-; production OLTP order 1</x:v>
      </x:c>
      <x:c r="G243" s="59" t="str">
        <x:v>System-generated source-row ordinal; not a stable business key.</x:v>
      </x:c>
      <x:c r="H243" s="59" t="str">
        <x:v>Stored source column</x:v>
      </x:c>
    </x:row>
    <x:row r="244" ht="21.600000381469727" customHeight="1">
      <x:c r="A244" s="57" t="str">
        <x:v>Repayments</x:v>
      </x:c>
      <x:c r="B244" s="57" t="n">
        <x:v>2</x:v>
      </x:c>
      <x:c r="C244" s="59" t="str">
        <x:v>Row ID</x:v>
      </x:c>
      <x:c r="D244" s="59" t="str">
        <x:v>Physical / Text</x:v>
      </x:c>
      <x:c r="E244" s="57" t="str">
        <x:v>OLTP + OLAP</x:v>
      </x:c>
      <x:c r="F244" s="57" t="str">
        <x:v>Key, Required; production OLTP order 2</x:v>
      </x:c>
      <x:c r="G244" s="59" t="str">
        <x:v>Immutable row key generated by the source database.</x:v>
      </x:c>
      <x:c r="H244" s="59" t="str">
        <x:v>Stored source column; initial value: UNIQUEID("PackedUUID")</x:v>
      </x:c>
    </x:row>
    <x:row r="245" ht="150" customHeight="1">
      <x:c r="A245" s="82" t="str">
        <x:v>Repayments</x:v>
      </x:c>
      <x:c r="B245" s="82" t="n">
        <x:v>3</x:v>
      </x:c>
      <x:c r="C245" s="82" t="str">
        <x:v>Payment Date</x:v>
      </x:c>
      <x:c r="D245" s="82" t="str">
        <x:v>Physical / Date</x:v>
      </x:c>
      <x:c r="E245" s="82" t="str">
        <x:v>OLTP + OLAP</x:v>
      </x:c>
      <x:c r="F245" s="82" t="str">
        <x:v>OLTP: Existing; Editable_If ISBLANK([Ref Payment])
OLAP dated baseline: Label, Required; production OLTP order 3</x:v>
      </x:c>
      <x:c r="G245" s="82" t="str">
        <x:v>Protect receipt-generated repayment values</x:v>
      </x:c>
      <x:c r="H245" s="82" t="str">
        <x:v>OLTP deployed 3.000002: Editable_If: ISBLANK([Ref Payment]). Existing formulas, defaults and validation retained; historical/default rows with blank Ref Payment remain editable.
OLAP dated baseline (unchanged): Stored source column; initial value: TODAY()</x:v>
      </x:c>
    </x:row>
    <x:row r="246" ht="150" customHeight="1">
      <x:c r="A246" s="82" t="str">
        <x:v>Repayments</x:v>
      </x:c>
      <x:c r="B246" s="82" t="n">
        <x:v>4</x:v>
      </x:c>
      <x:c r="C246" s="82" t="str">
        <x:v>Principal Paid</x:v>
      </x:c>
      <x:c r="D246" s="82" t="str">
        <x:v>Physical / Price</x:v>
      </x:c>
      <x:c r="E246" s="82" t="str">
        <x:v>OLTP + OLAP</x:v>
      </x:c>
      <x:c r="F246" s="82" t="str">
        <x:v>OLTP: Existing; Editable_If ISBLANK([Ref Payment])
OLAP dated baseline: Required; production OLTP order 4</x:v>
      </x:c>
      <x:c r="G246" s="82" t="str">
        <x:v>Protect receipt-generated repayment values</x:v>
      </x:c>
      <x:c r="H246" s="82" t="str">
        <x:v>OLTP deployed 3.000002: Editable_If: ISBLANK([Ref Payment]). Existing formulas, defaults and validation retained; historical/default rows with blank Ref Payment remain editable.
OLAP dated baseline (unchanged): Stored source column; initial value: 0; OLTP Valid_If: AND( [_THIS] &gt;= 0, [_THIS] &lt;= ( [Ref Charges].[Principal Due] - SUM( SELECT( Repayments[Principal Paid], AND( [Ref Charges] = [_THISROW].[Ref Charges], [Row ID] &lt;&gt; [_THISROW].[Row ID] ) ) ) ))</x:v>
      </x:c>
    </x:row>
    <x:row r="247" ht="150" customHeight="1">
      <x:c r="A247" s="82" t="str">
        <x:v>Repayments</x:v>
      </x:c>
      <x:c r="B247" s="82" t="n">
        <x:v>5</x:v>
      </x:c>
      <x:c r="C247" s="82" t="str">
        <x:v>Interest Paid</x:v>
      </x:c>
      <x:c r="D247" s="82" t="str">
        <x:v>Physical / Price</x:v>
      </x:c>
      <x:c r="E247" s="82" t="str">
        <x:v>OLTP + OLAP</x:v>
      </x:c>
      <x:c r="F247" s="82" t="str">
        <x:v>OLTP: Existing; Editable_If ISBLANK([Ref Payment])
OLAP dated baseline: Required; production OLTP order 5</x:v>
      </x:c>
      <x:c r="G247" s="82" t="str">
        <x:v>Protect receipt-generated repayment values</x:v>
      </x:c>
      <x:c r="H247" s="82" t="str">
        <x:v>OLTP deployed 3.000002: Editable_If: ISBLANK([Ref Payment]). Existing formulas, defaults and validation retained; historical/default rows with blank Ref Payment remain editable.
OLAP dated baseline (unchanged): Stored source column; initial value: 0; OLTP Valid_If: AND( [_THIS] &lt;= ( [Ref Charges].[Interest Due] - SUM( SELECT( Repayments[Interest Paid], AND( [Ref Charges] = [_THISROW].[Ref Charges], [Row ID] &lt;&gt; [_THISROW].[Row ID] ) ) ) ), OR([Principal Paid] &lt;&gt; 0, [_THIS] &lt;&gt; 0) )</x:v>
      </x:c>
    </x:row>
    <x:row r="248" ht="150" customHeight="1">
      <x:c r="A248" s="82" t="str">
        <x:v>Repayments</x:v>
      </x:c>
      <x:c r="B248" s="82" t="n">
        <x:v>6</x:v>
      </x:c>
      <x:c r="C248" s="82" t="str">
        <x:v>Notes</x:v>
      </x:c>
      <x:c r="D248" s="82" t="str">
        <x:v>Physical / LongText</x:v>
      </x:c>
      <x:c r="E248" s="82" t="str">
        <x:v>OLTP + OLAP</x:v>
      </x:c>
      <x:c r="F248" s="82" t="str">
        <x:v>OLTP: Existing; Editable_If ISBLANK([Ref Payment])
OLAP dated baseline: -; production OLTP order 6</x:v>
      </x:c>
      <x:c r="G248" s="82" t="str">
        <x:v>Protect receipt-generated repayment values</x:v>
      </x:c>
      <x:c r="H248" s="82" t="str">
        <x:v>OLTP deployed 3.000002: Editable_If: ISBLANK([Ref Payment]). Existing formulas, defaults and validation retained; historical/default rows with blank Ref Payment remain editable.
OLAP dated baseline (unchanged): Stored source column</x:v>
      </x:c>
    </x:row>
    <x:row r="249" ht="15" customHeight="1">
      <x:c r="A249" s="57" t="str">
        <x:v>Repayments</x:v>
      </x:c>
      <x:c r="B249" s="57" t="n">
        <x:v>7</x:v>
      </x:c>
      <x:c r="C249" s="59" t="str">
        <x:v>Ref Loans</x:v>
      </x:c>
      <x:c r="D249" s="59" t="str">
        <x:v>Physical / Ref</x:v>
      </x:c>
      <x:c r="E249" s="57" t="str">
        <x:v>OLTP + OLAP</x:v>
      </x:c>
      <x:c r="F249" s="57" t="str">
        <x:v>-; production OLTP order 7</x:v>
      </x:c>
      <x:c r="G249" s="59" t="str">
        <x:v>Reference key that links this row to the configured parent table.</x:v>
      </x:c>
      <x:c r="H249" s="59" t="str">
        <x:v>Stored source column</x:v>
      </x:c>
    </x:row>
    <x:row r="250" ht="150" customHeight="1">
      <x:c r="A250" s="82" t="str">
        <x:v>Repayments</x:v>
      </x:c>
      <x:c r="B250" s="82" t="n">
        <x:v>8</x:v>
      </x:c>
      <x:c r="C250" s="82" t="str">
        <x:v>Ref Charges</x:v>
      </x:c>
      <x:c r="D250" s="82" t="str">
        <x:v>Physical / Ref</x:v>
      </x:c>
      <x:c r="E250" s="82" t="str">
        <x:v>OLTP + OLAP</x:v>
      </x:c>
      <x:c r="F250" s="82" t="str">
        <x:v>OLTP: Existing; Editable_If ISBLANK([Ref Payment]); required; IsPartOf true
OLAP dated baseline: Required; production OLTP order 8</x:v>
      </x:c>
      <x:c r="G250" s="82" t="str">
        <x:v>Protect receipt-generated repayment values</x:v>
      </x:c>
      <x:c r="H250" s="82" t="str">
        <x:v>OLTP deployed 3.000002: Editable_If: ISBLANK([Ref Payment]). Existing formulas, defaults and validation retained; historical/default rows with blank Ref Payment remain editable. Ref Charges target: Charges.
OLAP dated baseline (unchanged): Stored source column</x:v>
      </x:c>
    </x:row>
    <x:row r="251" ht="150" customHeight="1">
      <x:c r="A251" s="82" t="str">
        <x:v>Repayments</x:v>
      </x:c>
      <x:c r="B251" s="82" t="n">
        <x:v>9</x:v>
      </x:c>
      <x:c r="C251" s="82" t="str">
        <x:v>Created By</x:v>
      </x:c>
      <x:c r="D251" s="82" t="str">
        <x:v>Physical / Email</x:v>
      </x:c>
      <x:c r="E251" s="82" t="str">
        <x:v>OLTP + OLAP</x:v>
      </x:c>
      <x:c r="F251" s="82" t="str">
        <x:v>OLTP: Hidden; base Editable enabled; Editable_If FALSE; PII true
OLAP dated baseline: PII; production OLTP order 9</x:v>
      </x:c>
      <x:c r="G251" s="82" t="str">
        <x:v>Preserve original receipt creator</x:v>
      </x:c>
      <x:c r="H251" s="82" t="str">
        <x:v>OLTP deployed 3.000002: Initial USEREMAIL() retained. Payment - Post Allocation explicitly assigns [Ref Payment].[Created By]. Position 9 confirmed.
OLAP dated baseline (unchanged): Stored source column; initial value: USEREMAIL()</x:v>
      </x:c>
    </x:row>
    <x:row r="252" ht="21.600000381469727" customHeight="1">
      <x:c r="A252" s="57" t="str">
        <x:v>Repayments</x:v>
      </x:c>
      <x:c r="B252" s="57" t="n">
        <x:v>10</x:v>
      </x:c>
      <x:c r="C252" s="59" t="str">
        <x:v>Borrower Name</x:v>
      </x:c>
      <x:c r="D252" s="59" t="str">
        <x:v>VC / Name</x:v>
      </x:c>
      <x:c r="E252" s="57" t="str">
        <x:v>OLTP + OLAP</x:v>
      </x:c>
      <x:c r="F252" s="57" t="str">
        <x:v>-; production OLTP order 12</x:v>
      </x:c>
      <x:c r="G252" s="59" t="str">
        <x:v>Derived AppSheet value used by the app workflow, presentation, or reporting model.</x:v>
      </x:c>
      <x:c r="H252" s="59" t="str">
        <x:v>[Ref Loans].[Borrower Name]</x:v>
      </x:c>
    </x:row>
    <x:row r="253" ht="15" customHeight="1">
      <x:c r="A253" s="57" t="str">
        <x:v>Repayments</x:v>
      </x:c>
      <x:c r="B253" s="57" t="n">
        <x:v>11</x:v>
      </x:c>
      <x:c r="C253" s="59" t="str">
        <x:v>Principal Returned Days MTD</x:v>
      </x:c>
      <x:c r="D253" s="59" t="str">
        <x:v>VC / Number</x:v>
      </x:c>
      <x:c r="E253" s="57" t="str">
        <x:v>OLTP + OLAP</x:v>
      </x:c>
      <x:c r="F253" s="57" t="str">
        <x:v>-; production OLTP order 13</x:v>
      </x:c>
      <x:c r="G253" s="59" t="str">
        <x:v>Derived ratio or performance measure calculated from governed source values.</x:v>
      </x:c>
      <x:c r="H253" s="59" t="str">
        <x:v>IF( OR([Principal Paid] &lt;= 0, [Payment Date] &gt; TODAY()), 0, [Principal Paid] * IF( AND( MONTH([Payment Date]) = MONTH(TODAY()), YEAR([Payment Date]) = YEAR(TODAY()) ), DAY(TODAY()) - DAY([Payment Date]) + 1, DAY(TODAY()) ))</x:v>
      </x:c>
    </x:row>
    <x:row r="254" ht="15" customHeight="1">
      <x:c r="A254" s="57" t="str">
        <x:v>Repayments</x:v>
      </x:c>
      <x:c r="B254" s="57" t="n">
        <x:v>12</x:v>
      </x:c>
      <x:c r="C254" s="59" t="str">
        <x:v>Pool Total at Payment Date</x:v>
      </x:c>
      <x:c r="D254" s="59" t="str">
        <x:v>VC / Price</x:v>
      </x:c>
      <x:c r="E254" s="57" t="str">
        <x:v>OLAP only</x:v>
      </x:c>
      <x:c r="F254" s="57" t="str">
        <x:v>-</x:v>
      </x:c>
      <x:c r="G254" s="59" t="str">
        <x:v>Derived date, time-window, age, or delinquency measure.</x:v>
      </x:c>
      <x:c r="H254" s="59" t="str">
        <x:v>SUM( SELECT( Cash Pool Contributions[Net Contribution], [Contribution Date] &lt;= [_THISROW].[Payment Date] ))</x:v>
      </x:c>
    </x:row>
    <x:row r="255" ht="15" customHeight="1">
      <x:c r="A255" s="57" t="str">
        <x:v>Repayments</x:v>
      </x:c>
      <x:c r="B255" s="57" t="n">
        <x:v>13</x:v>
      </x:c>
      <x:c r="C255" s="59" t="str">
        <x:v>Partner A Contribution at Payment Date</x:v>
      </x:c>
      <x:c r="D255" s="59" t="str">
        <x:v>VC / Price</x:v>
      </x:c>
      <x:c r="E255" s="57" t="str">
        <x:v>OLAP only</x:v>
      </x:c>
      <x:c r="F255" s="57" t="str">
        <x:v>-</x:v>
      </x:c>
      <x:c r="G255" s="59" t="str">
        <x:v>Derived date, time-window, age, or delinquency measure.</x:v>
      </x:c>
      <x:c r="H255" s="59" t="str">
        <x:v>SUM( SELECT( Cash Pool Contributions[Net Contribution], AND( [Contribution Date] &lt;= [_THISROW].[Payment Date], [Ref Partner].[Partner Role] = "A" ) ))</x:v>
      </x:c>
    </x:row>
    <x:row r="256" ht="15" customHeight="1">
      <x:c r="A256" s="57" t="str">
        <x:v>Repayments</x:v>
      </x:c>
      <x:c r="B256" s="57" t="n">
        <x:v>14</x:v>
      </x:c>
      <x:c r="C256" s="59" t="str">
        <x:v>Partner B Contribution at Payment Date</x:v>
      </x:c>
      <x:c r="D256" s="59" t="str">
        <x:v>VC / Price</x:v>
      </x:c>
      <x:c r="E256" s="57" t="str">
        <x:v>OLAP only</x:v>
      </x:c>
      <x:c r="F256" s="57" t="str">
        <x:v>-</x:v>
      </x:c>
      <x:c r="G256" s="59" t="str">
        <x:v>Derived date, time-window, age, or delinquency measure.</x:v>
      </x:c>
      <x:c r="H256" s="59" t="str">
        <x:v>SUM( SELECT( Cash Pool Contributions[Net Contribution], AND( [Contribution Date] &lt;= [_THISROW].[Payment Date], [Ref Partner].[Partner Role] = "B" ) ))</x:v>
      </x:c>
    </x:row>
    <x:row r="257" ht="15" customHeight="1">
      <x:c r="A257" s="57" t="str">
        <x:v>Repayments</x:v>
      </x:c>
      <x:c r="B257" s="57" t="n">
        <x:v>15</x:v>
      </x:c>
      <x:c r="C257" s="59" t="str">
        <x:v>Partner A Profit Share</x:v>
      </x:c>
      <x:c r="D257" s="59" t="str">
        <x:v>VC / Percent</x:v>
      </x:c>
      <x:c r="E257" s="57" t="str">
        <x:v>OLAP only</x:v>
      </x:c>
      <x:c r="F257" s="57" t="str">
        <x:v>-</x:v>
      </x:c>
      <x:c r="G257" s="59" t="str">
        <x:v>Derived ratio or performance measure calculated from governed source values.</x:v>
      </x:c>
      <x:c r="H257" s="59" t="str">
        <x:v>IF( [Pool Total at Payment Date] &gt; 0, [Partner A Contribution at Payment Date] / [Pool Total at Payment Date], 0)</x:v>
      </x:c>
    </x:row>
    <x:row r="258" ht="15" customHeight="1">
      <x:c r="A258" s="57" t="str">
        <x:v>Repayments</x:v>
      </x:c>
      <x:c r="B258" s="57" t="n">
        <x:v>16</x:v>
      </x:c>
      <x:c r="C258" s="59" t="str">
        <x:v>Partner B Profit Share</x:v>
      </x:c>
      <x:c r="D258" s="59" t="str">
        <x:v>VC / Percent</x:v>
      </x:c>
      <x:c r="E258" s="57" t="str">
        <x:v>OLAP only</x:v>
      </x:c>
      <x:c r="F258" s="57" t="str">
        <x:v>-</x:v>
      </x:c>
      <x:c r="G258" s="59" t="str">
        <x:v>Derived ratio or performance measure calculated from governed source values.</x:v>
      </x:c>
      <x:c r="H258" s="59" t="str">
        <x:v>IF( [Pool Total at Payment Date] &gt; 0, [Partner B Contribution at Payment Date] / [Pool Total at Payment Date], 0)</x:v>
      </x:c>
    </x:row>
    <x:row r="259" ht="15" customHeight="1">
      <x:c r="A259" s="57" t="str">
        <x:v>Repayments</x:v>
      </x:c>
      <x:c r="B259" s="57" t="n">
        <x:v>17</x:v>
      </x:c>
      <x:c r="C259" s="59" t="str">
        <x:v>Partner A Profit</x:v>
      </x:c>
      <x:c r="D259" s="59" t="str">
        <x:v>VC / Price</x:v>
      </x:c>
      <x:c r="E259" s="57" t="str">
        <x:v>OLAP only</x:v>
      </x:c>
      <x:c r="F259" s="57" t="str">
        <x:v>-</x:v>
      </x:c>
      <x:c r="G259" s="59" t="str">
        <x:v>Derived financial aggregate or balance for operational or analytical use.</x:v>
      </x:c>
      <x:c r="H259" s="59" t="str">
        <x:v>[Interest Paid] * [Partner A Profit Share]</x:v>
      </x:c>
    </x:row>
    <x:row r="260" ht="15" customHeight="1">
      <x:c r="A260" s="57" t="str">
        <x:v>Repayments</x:v>
      </x:c>
      <x:c r="B260" s="57" t="n">
        <x:v>18</x:v>
      </x:c>
      <x:c r="C260" s="59" t="str">
        <x:v>Partner B Profit</x:v>
      </x:c>
      <x:c r="D260" s="59" t="str">
        <x:v>VC / Price</x:v>
      </x:c>
      <x:c r="E260" s="57" t="str">
        <x:v>OLAP only</x:v>
      </x:c>
      <x:c r="F260" s="57" t="str">
        <x:v>-</x:v>
      </x:c>
      <x:c r="G260" s="59" t="str">
        <x:v>Derived financial aggregate or balance for operational or analytical use.</x:v>
      </x:c>
      <x:c r="H260" s="59" t="str">
        <x:v>[Interest Paid] * [Partner B Profit Share]</x:v>
      </x:c>
    </x:row>
    <x:row r="261" ht="15" customHeight="1">
      <x:c r="A261" s="57" t="str">
        <x:v>Repayments</x:v>
      </x:c>
      <x:c r="B261" s="57" t="n">
        <x:v>19</x:v>
      </x:c>
      <x:c r="C261" s="59" t="str">
        <x:v>Header - Profit</x:v>
      </x:c>
      <x:c r="D261" s="59" t="str">
        <x:v>VC / Text</x:v>
      </x:c>
      <x:c r="E261" s="57" t="str">
        <x:v>OLAP only</x:v>
      </x:c>
      <x:c r="F261" s="57" t="str">
        <x:v>-</x:v>
      </x:c>
      <x:c r="G261" s="59" t="str">
        <x:v>Presentation-oriented label or bilingual display value.</x:v>
      </x:c>
      <x:c r="H261" s="59" t="str">
        <x:v>💰 การแบ่งกำไร</x:v>
      </x:c>
    </x:row>
    <x:row r="262" ht="15" customHeight="1">
      <x:c r="A262" s="57" t="str">
        <x:v>Repayments</x:v>
      </x:c>
      <x:c r="B262" s="57" t="n">
        <x:v>20</x:v>
      </x:c>
      <x:c r="C262" s="59" t="str">
        <x:v>Borrower Name TE</x:v>
      </x:c>
      <x:c r="D262" s="59" t="str">
        <x:v>VC / Text</x:v>
      </x:c>
      <x:c r="E262" s="57" t="str">
        <x:v>OLTP + OLAP</x:v>
      </x:c>
      <x:c r="F262" s="57" t="str">
        <x:v>-; production OLTP order 14</x:v>
      </x:c>
      <x:c r="G262" s="59" t="str">
        <x:v>Presentation-oriented label or bilingual display value.</x:v>
      </x:c>
      <x:c r="H262" s="59" t="str">
        <x:v>[Ref Loans].[Borrower Name TE]</x:v>
      </x:c>
    </x:row>
    <x:row r="263" ht="15" customHeight="1">
      <x:c r="A263" s="57" t="str">
        <x:v>Repayments</x:v>
      </x:c>
      <x:c r="B263" s="57" t="n">
        <x:v>21</x:v>
      </x:c>
      <x:c r="C263" s="59" t="str">
        <x:v>30D Principal Reduction Days</x:v>
      </x:c>
      <x:c r="D263" s="59" t="str">
        <x:v>VC / Decimal</x:v>
      </x:c>
      <x:c r="E263" s="57" t="str">
        <x:v>OLAP only</x:v>
      </x:c>
      <x:c r="F263" s="57" t="str">
        <x:v>-</x:v>
      </x:c>
      <x:c r="G263" s="59" t="str">
        <x:v>Derived date, time-window, age, or delinquency measure.</x:v>
      </x:c>
      <x:c r="H263" s="59" t="str">
        <x:v>IF( OR([Payment Date] &lt; TODAY() - 29, [Payment Date] &gt; TODAY()), 0, [Principal Paid] * ( FLOOR(TOTALHOURS(TODAY() - [Payment Date]) / 24) + 1 ))</x:v>
      </x:c>
    </x:row>
    <x:row r="264" ht="15" customHeight="1">
      <x:c r="A264" s="57" t="str">
        <x:v>Repayments</x:v>
      </x:c>
      <x:c r="B264" s="57" t="n">
        <x:v>22</x:v>
      </x:c>
      <x:c r="C264" s="59" t="str">
        <x:v>Amount Received</x:v>
      </x:c>
      <x:c r="D264" s="59" t="str">
        <x:v>VC / Price</x:v>
      </x:c>
      <x:c r="E264" s="57" t="str">
        <x:v>OLTP + OLAP</x:v>
      </x:c>
      <x:c r="F264" s="57" t="str">
        <x:v>-; production OLTP order 15</x:v>
      </x:c>
      <x:c r="G264" s="59" t="str">
        <x:v>Derived financial aggregate or balance for operational or analytical use.</x:v>
      </x:c>
      <x:c r="H264" s="59" t="str">
        <x:v>[Principal Paid] + [Interest Paid]</x:v>
      </x:c>
    </x:row>
    <x:row r="265" ht="15" customHeight="1">
      <x:c r="A265" s="57" t="str">
        <x:v>Repayments</x:v>
      </x:c>
      <x:c r="B265" s="57" t="n">
        <x:v>23</x:v>
      </x:c>
      <x:c r="C265" s="59" t="str">
        <x:v>Payment Amount Today</x:v>
      </x:c>
      <x:c r="D265" s="59" t="str">
        <x:v>VC / Price</x:v>
      </x:c>
      <x:c r="E265" s="57" t="str">
        <x:v>OLTP only</x:v>
      </x:c>
      <x:c r="F265" s="57" t="str">
        <x:v>Show; 0 decimals; OLTP #14; production OLTP order 16</x:v>
      </x:c>
      <x:c r="G265" s="59" t="str">
        <x:v>Amount Received when Payment Date is today; otherwise zero.</x:v>
      </x:c>
      <x:c r="H265" s="59" t="str">
        <x:v>IF([Payment Date] = TODAY(), [Amount Received], 0)</x:v>
      </x:c>
    </x:row>
    <x:row r="266" ht="15" customHeight="1">
      <x:c r="A266" s="57" t="str">
        <x:v>Settlements</x:v>
      </x:c>
      <x:c r="B266" s="57" t="n">
        <x:v>1</x:v>
      </x:c>
      <x:c r="C266" s="59" t="str">
        <x:v>_RowNumber</x:v>
      </x:c>
      <x:c r="D266" s="59" t="str">
        <x:v>Physical / Number</x:v>
      </x:c>
      <x:c r="E266" s="57" t="str">
        <x:v>OLAP only</x:v>
      </x:c>
      <x:c r="F266" s="57" t="str">
        <x:v>-</x:v>
      </x:c>
      <x:c r="G266" s="59" t="str">
        <x:v>System-generated source-row ordinal; not a stable business key.</x:v>
      </x:c>
      <x:c r="H266" s="59" t="str">
        <x:v>Stored source column</x:v>
      </x:c>
    </x:row>
    <x:row r="267" ht="15" customHeight="1">
      <x:c r="A267" s="57" t="str">
        <x:v>Settlements</x:v>
      </x:c>
      <x:c r="B267" s="57" t="n">
        <x:v>2</x:v>
      </x:c>
      <x:c r="C267" s="59" t="str">
        <x:v>Row ID</x:v>
      </x:c>
      <x:c r="D267" s="59" t="str">
        <x:v>Physical / Text</x:v>
      </x:c>
      <x:c r="E267" s="57" t="str">
        <x:v>OLAP only</x:v>
      </x:c>
      <x:c r="F267" s="57" t="str">
        <x:v>Key, Required</x:v>
      </x:c>
      <x:c r="G267" s="59" t="str">
        <x:v>Immutable row key generated by the source database.</x:v>
      </x:c>
      <x:c r="H267" s="59" t="str">
        <x:v>Stored source column; initial value: UNIQUEID("PackedUUID")</x:v>
      </x:c>
    </x:row>
    <x:row r="268" ht="15" customHeight="1">
      <x:c r="A268" s="57" t="str">
        <x:v>Settlements</x:v>
      </x:c>
      <x:c r="B268" s="57" t="n">
        <x:v>3</x:v>
      </x:c>
      <x:c r="C268" s="59" t="str">
        <x:v>Settlement Date</x:v>
      </x:c>
      <x:c r="D268" s="59" t="str">
        <x:v>Physical / Date</x:v>
      </x:c>
      <x:c r="E268" s="57" t="str">
        <x:v>OLAP only</x:v>
      </x:c>
      <x:c r="F268" s="57" t="str">
        <x:v>Label</x:v>
      </x:c>
      <x:c r="G268" s="59" t="str">
        <x:v>Stores the source date for Settlement Date.</x:v>
      </x:c>
      <x:c r="H268" s="59" t="str">
        <x:v>Stored source column; initial value: TODAY()</x:v>
      </x:c>
    </x:row>
    <x:row r="269" ht="15" customHeight="1">
      <x:c r="A269" s="57" t="str">
        <x:v>Settlements</x:v>
      </x:c>
      <x:c r="B269" s="57" t="n">
        <x:v>4</x:v>
      </x:c>
      <x:c r="C269" s="59" t="str">
        <x:v>Ref Partner</x:v>
      </x:c>
      <x:c r="D269" s="59" t="str">
        <x:v>Physical / Ref</x:v>
      </x:c>
      <x:c r="E269" s="57" t="str">
        <x:v>OLAP only</x:v>
      </x:c>
      <x:c r="F269" s="57" t="str">
        <x:v>-</x:v>
      </x:c>
      <x:c r="G269" s="59" t="str">
        <x:v>Reference key that links this row to the configured parent table.</x:v>
      </x:c>
      <x:c r="H269" s="59" t="str">
        <x:v>Stored source column</x:v>
      </x:c>
    </x:row>
    <x:row r="270" ht="21.600000381469727" customHeight="1">
      <x:c r="A270" s="57" t="str">
        <x:v>Settlements</x:v>
      </x:c>
      <x:c r="B270" s="57" t="n">
        <x:v>5</x:v>
      </x:c>
      <x:c r="C270" s="59" t="str">
        <x:v>Amount</x:v>
      </x:c>
      <x:c r="D270" s="59" t="str">
        <x:v>Physical / Price</x:v>
      </x:c>
      <x:c r="E270" s="57" t="str">
        <x:v>OLAP only</x:v>
      </x:c>
      <x:c r="F270" s="57" t="str">
        <x:v>-</x:v>
      </x:c>
      <x:c r="G270" s="59" t="str">
        <x:v>Stores the financially material source value for Amount.</x:v>
      </x:c>
      <x:c r="H270" s="59" t="str">
        <x:v>Stored source column</x:v>
      </x:c>
    </x:row>
    <x:row r="271" ht="21.600000381469727" customHeight="1">
      <x:c r="A271" s="57" t="str">
        <x:v>Settlements</x:v>
      </x:c>
      <x:c r="B271" s="57" t="n">
        <x:v>6</x:v>
      </x:c>
      <x:c r="C271" s="59" t="str">
        <x:v>Status</x:v>
      </x:c>
      <x:c r="D271" s="59" t="str">
        <x:v>Physical / Enum</x:v>
      </x:c>
      <x:c r="E271" s="57" t="str">
        <x:v>OLAP only</x:v>
      </x:c>
      <x:c r="F271" s="57" t="str">
        <x:v>-</x:v>
      </x:c>
      <x:c r="G271" s="59" t="str">
        <x:v>Stores the controlled workflow state for Status.</x:v>
      </x:c>
      <x:c r="H271" s="59" t="str">
        <x:v>Stored source column; initial value: "Pending"</x:v>
      </x:c>
    </x:row>
    <x:row r="272" ht="15" customHeight="1">
      <x:c r="A272" s="57" t="str">
        <x:v>Settlements</x:v>
      </x:c>
      <x:c r="B272" s="57" t="n">
        <x:v>7</x:v>
      </x:c>
      <x:c r="C272" s="59" t="str">
        <x:v>Transfer Date</x:v>
      </x:c>
      <x:c r="D272" s="59" t="str">
        <x:v>Physical / Date</x:v>
      </x:c>
      <x:c r="E272" s="57" t="str">
        <x:v>OLAP only</x:v>
      </x:c>
      <x:c r="F272" s="57" t="str">
        <x:v>-</x:v>
      </x:c>
      <x:c r="G272" s="59" t="str">
        <x:v>Stores the source date for Transfer Date.</x:v>
      </x:c>
      <x:c r="H272" s="59" t="str">
        <x:v>Stored source column</x:v>
      </x:c>
    </x:row>
    <x:row r="273" ht="21.600000381469727" customHeight="1">
      <x:c r="A273" s="57" t="str">
        <x:v>Settlements</x:v>
      </x:c>
      <x:c r="B273" s="57" t="n">
        <x:v>8</x:v>
      </x:c>
      <x:c r="C273" s="59" t="str">
        <x:v>Notes</x:v>
      </x:c>
      <x:c r="D273" s="59" t="str">
        <x:v>Physical / LongText</x:v>
      </x:c>
      <x:c r="E273" s="57" t="str">
        <x:v>OLAP only</x:v>
      </x:c>
      <x:c r="F273" s="57" t="str">
        <x:v>-</x:v>
      </x:c>
      <x:c r="G273" s="59" t="str">
        <x:v>Stores the authoritative source value for Notes.</x:v>
      </x:c>
      <x:c r="H273" s="59" t="str">
        <x:v>Stored source column</x:v>
      </x:c>
    </x:row>
    <x:row r="274" ht="21.600000381469727" customHeight="1">
      <x:c r="A274" s="57" t="str">
        <x:v>Statistics</x:v>
      </x:c>
      <x:c r="B274" s="57" t="n">
        <x:v>1</x:v>
      </x:c>
      <x:c r="C274" s="59" t="str">
        <x:v>_RowNumber</x:v>
      </x:c>
      <x:c r="D274" s="59" t="str">
        <x:v>Physical / Number</x:v>
      </x:c>
      <x:c r="E274" s="57" t="str">
        <x:v>OLTP + OLAP</x:v>
      </x:c>
      <x:c r="F274" s="57" t="str">
        <x:v>-</x:v>
      </x:c>
      <x:c r="G274" s="59" t="str">
        <x:v>System-generated source-row ordinal; not a stable business key.</x:v>
      </x:c>
      <x:c r="H274" s="59" t="str">
        <x:v>Stored source column</x:v>
      </x:c>
    </x:row>
    <x:row r="275" ht="15" customHeight="1">
      <x:c r="A275" s="57" t="str">
        <x:v>Statistics</x:v>
      </x:c>
      <x:c r="B275" s="57" t="n">
        <x:v>2</x:v>
      </x:c>
      <x:c r="C275" s="59" t="str">
        <x:v>Row ID</x:v>
      </x:c>
      <x:c r="D275" s="59" t="str">
        <x:v>Physical / Text</x:v>
      </x:c>
      <x:c r="E275" s="57" t="str">
        <x:v>OLTP + OLAP</x:v>
      </x:c>
      <x:c r="F275" s="57" t="str">
        <x:v>Key, Required</x:v>
      </x:c>
      <x:c r="G275" s="59" t="str">
        <x:v>Immutable row key generated by the source database.</x:v>
      </x:c>
      <x:c r="H275" s="59" t="str">
        <x:v>Stored source column; initial value: UNIQUEID("PackedUUID")</x:v>
      </x:c>
    </x:row>
    <x:row r="276" ht="15" customHeight="1">
      <x:c r="A276" s="57" t="str">
        <x:v>Statistics</x:v>
      </x:c>
      <x:c r="B276" s="57" t="n">
        <x:v>3</x:v>
      </x:c>
      <x:c r="C276" s="59" t="str">
        <x:v>Statistics ID</x:v>
      </x:c>
      <x:c r="D276" s="59" t="str">
        <x:v>Physical / Text</x:v>
      </x:c>
      <x:c r="E276" s="57" t="str">
        <x:v>OLTP + OLAP</x:v>
      </x:c>
      <x:c r="F276" s="57" t="str">
        <x:v>Label</x:v>
      </x:c>
      <x:c r="G276" s="59" t="str">
        <x:v>Stores the authoritative source value for Statistics ID.</x:v>
      </x:c>
      <x:c r="H276" s="59" t="str">
        <x:v>Stored source column</x:v>
      </x:c>
    </x:row>
    <x:row r="277" ht="15" customHeight="1">
      <x:c r="A277" s="57" t="str">
        <x:v>Statistics</x:v>
      </x:c>
      <x:c r="B277" s="57" t="n">
        <x:v>4</x:v>
      </x:c>
      <x:c r="C277" s="59" t="str">
        <x:v>Total Profit</x:v>
      </x:c>
      <x:c r="D277" s="59" t="str">
        <x:v>VC / Price</x:v>
      </x:c>
      <x:c r="E277" s="57" t="str">
        <x:v>OLTP + OLAP</x:v>
      </x:c>
      <x:c r="F277" s="57" t="str">
        <x:v>-</x:v>
      </x:c>
      <x:c r="G277" s="59" t="str">
        <x:v>Derived financial aggregate or balance for operational or analytical use.</x:v>
      </x:c>
      <x:c r="H277" s="59" t="str">
        <x:v>SUM(Repayments[Interest Paid])</x:v>
      </x:c>
    </x:row>
    <x:row r="278" ht="21.600000381469727" customHeight="1">
      <x:c r="A278" s="57" t="str">
        <x:v>Statistics</x:v>
      </x:c>
      <x:c r="B278" s="57" t="n">
        <x:v>5</x:v>
      </x:c>
      <x:c r="C278" s="59" t="str">
        <x:v>Outstanding Principal</x:v>
      </x:c>
      <x:c r="D278" s="59" t="str">
        <x:v>VC / Price</x:v>
      </x:c>
      <x:c r="E278" s="57" t="str">
        <x:v>OLTP + OLAP</x:v>
      </x:c>
      <x:c r="F278" s="57" t="str">
        <x:v>-</x:v>
      </x:c>
      <x:c r="G278" s="59" t="str">
        <x:v>Derived financial aggregate or balance for operational or analytical use.</x:v>
      </x:c>
      <x:c r="H278" s="59" t="str">
        <x:v>SUM(Loans[Outstanding Principal])</x:v>
      </x:c>
    </x:row>
    <x:row r="279" ht="15" customHeight="1">
      <x:c r="A279" s="57" t="str">
        <x:v>Statistics</x:v>
      </x:c>
      <x:c r="B279" s="57" t="n">
        <x:v>6</x:v>
      </x:c>
      <x:c r="C279" s="59" t="str">
        <x:v>Active Loans</x:v>
      </x:c>
      <x:c r="D279" s="59" t="str">
        <x:v>VC / Number</x:v>
      </x:c>
      <x:c r="E279" s="57" t="str">
        <x:v>OLAP only</x:v>
      </x:c>
      <x:c r="F279" s="57" t="str">
        <x:v>-</x:v>
      </x:c>
      <x:c r="G279" s="59" t="str">
        <x:v>Derived count used for workload, portfolio, or risk analysis.</x:v>
      </x:c>
      <x:c r="H279" s="59" t="str">
        <x:v>COUNT( SELECT( Loans[Row ID], [Loan Status] = "ยังไม่ปิดยอด" ))</x:v>
      </x:c>
    </x:row>
    <x:row r="280" ht="15" customHeight="1">
      <x:c r="A280" s="57" t="str">
        <x:v>Statistics</x:v>
      </x:c>
      <x:c r="B280" s="57" t="n">
        <x:v>7</x:v>
      </x:c>
      <x:c r="C280" s="59" t="str">
        <x:v>Today's Profit</x:v>
      </x:c>
      <x:c r="D280" s="59" t="str">
        <x:v>VC / Price</x:v>
      </x:c>
      <x:c r="E280" s="57" t="str">
        <x:v>OLTP + OLAP</x:v>
      </x:c>
      <x:c r="F280" s="57" t="str">
        <x:v>-</x:v>
      </x:c>
      <x:c r="G280" s="59" t="str">
        <x:v>Derived financial aggregate or balance for operational or analytical use.</x:v>
      </x:c>
      <x:c r="H280" s="59" t="str">
        <x:v>SUM( SELECT( Repayments[Interest Paid], [Payment Date] = TODAY() ))</x:v>
      </x:c>
    </x:row>
    <x:row r="281" ht="15" customHeight="1">
      <x:c r="A281" s="57" t="str">
        <x:v>Statistics</x:v>
      </x:c>
      <x:c r="B281" s="57" t="n">
        <x:v>8</x:v>
      </x:c>
      <x:c r="C281" s="59" t="str">
        <x:v>Yesterday's Profit</x:v>
      </x:c>
      <x:c r="D281" s="59" t="str">
        <x:v>VC / Price</x:v>
      </x:c>
      <x:c r="E281" s="57" t="str">
        <x:v>OLTP + OLAP</x:v>
      </x:c>
      <x:c r="F281" s="57" t="str">
        <x:v>-</x:v>
      </x:c>
      <x:c r="G281" s="59" t="str">
        <x:v>Derived financial aggregate or balance for operational or analytical use.</x:v>
      </x:c>
      <x:c r="H281" s="59" t="str">
        <x:v>SUM( SELECT( Repayments[Interest Paid], [Payment Date] = TODAY() - 1 ))</x:v>
      </x:c>
    </x:row>
    <x:row r="282" ht="15" customHeight="1">
      <x:c r="A282" s="57" t="str">
        <x:v>Statistics</x:v>
      </x:c>
      <x:c r="B282" s="57" t="n">
        <x:v>9</x:v>
      </x:c>
      <x:c r="C282" s="59" t="str">
        <x:v>Realized Profit MTD</x:v>
      </x:c>
      <x:c r="D282" s="59" t="str">
        <x:v>VC / Price</x:v>
      </x:c>
      <x:c r="E282" s="57" t="str">
        <x:v>OLTP + OLAP</x:v>
      </x:c>
      <x:c r="F282" s="57" t="str">
        <x:v>-</x:v>
      </x:c>
      <x:c r="G282" s="59" t="str">
        <x:v>Derived financial aggregate or balance for operational or analytical use.</x:v>
      </x:c>
      <x:c r="H282" s="59" t="str">
        <x:v>SUM( SELECT( Repayments[Interest Paid], AND( MONTH([Payment Date]) = MONTH(TODAY()), YEAR([Payment Date]) = YEAR(TODAY()) ) ))</x:v>
      </x:c>
    </x:row>
    <x:row r="283" ht="15" customHeight="1">
      <x:c r="A283" s="57" t="str">
        <x:v>Statistics</x:v>
      </x:c>
      <x:c r="B283" s="57" t="n">
        <x:v>10</x:v>
      </x:c>
      <x:c r="C283" s="59" t="str">
        <x:v>Projected Monthly Profit</x:v>
      </x:c>
      <x:c r="D283" s="59" t="str">
        <x:v>VC / Price</x:v>
      </x:c>
      <x:c r="E283" s="57" t="str">
        <x:v>OLTP + OLAP</x:v>
      </x:c>
      <x:c r="F283" s="57" t="str">
        <x:v>-</x:v>
      </x:c>
      <x:c r="G283" s="59" t="str">
        <x:v>Forecast aggregate combining realized MTD interest, remaining interest on all open Charges, and forecast remaining interest; interpret using the monthly forecast assumptions below.</x:v>
      </x:c>
      <x:c r="H283" s="59" t="str">
        <x:v>[Realized Profit MTD]+[Today's Outstanding Interest]+[Forecast Remaining Interest]</x:v>
      </x:c>
    </x:row>
    <x:row r="284" ht="15" customHeight="1">
      <x:c r="A284" s="57" t="str">
        <x:v>Statistics</x:v>
      </x:c>
      <x:c r="B284" s="57" t="n">
        <x:v>11</x:v>
      </x:c>
      <x:c r="C284" s="59" t="str">
        <x:v>Pending Payment Amount</x:v>
      </x:c>
      <x:c r="D284" s="59" t="str">
        <x:v>VC / Price</x:v>
      </x:c>
      <x:c r="E284" s="57" t="str">
        <x:v>OLTP + OLAP</x:v>
      </x:c>
      <x:c r="F284" s="57" t="str">
        <x:v>-</x:v>
      </x:c>
      <x:c r="G284" s="59" t="str">
        <x:v>Broad sum of all Charges[Amount Remaining] across dates and references; currently reconciles to Collection only while source referential integrity and population scope remain aligned.</x:v>
      </x:c>
      <x:c r="H284" s="59" t="str">
        <x:v>SUM(Charges[Amount Remaining])</x:v>
      </x:c>
    </x:row>
    <x:row r="285" ht="15" customHeight="1">
      <x:c r="A285" s="57" t="str">
        <x:v>Statistics</x:v>
      </x:c>
      <x:c r="B285" s="57" t="n">
        <x:v>12</x:v>
      </x:c>
      <x:c r="C285" s="59" t="str">
        <x:v>Forecast Remaining Interest</x:v>
      </x:c>
      <x:c r="D285" s="59" t="str">
        <x:v>VC / Price</x:v>
      </x:c>
      <x:c r="E285" s="57" t="str">
        <x:v>OLTP + OLAP</x:v>
      </x:c>
      <x:c r="F285" s="57" t="str">
        <x:v>-</x:v>
      </x:c>
      <x:c r="G285" s="59" t="str">
        <x:v>Sum of loan-level expected interest; daily loans include accrued but uncharged interest plus interest for days after today through month-end.</x:v>
      </x:c>
      <x:c r="H285" s="59" t="str">
        <x:v>SUM(Loans[Expected Interest This Month])</x:v>
      </x:c>
    </x:row>
    <x:row r="286" ht="15" customHeight="1">
      <x:c r="A286" s="57" t="str">
        <x:v>Statistics</x:v>
      </x:c>
      <x:c r="B286" s="57" t="n">
        <x:v>13</x:v>
      </x:c>
      <x:c r="C286" s="59" t="str">
        <x:v>Today's Outstanding Interest</x:v>
      </x:c>
      <x:c r="D286" s="59" t="str">
        <x:v>VC / Price</x:v>
      </x:c>
      <x:c r="E286" s="57" t="str">
        <x:v>OLTP + OLAP</x:v>
      </x:c>
      <x:c r="F286" s="57" t="str">
        <x:v>-</x:v>
      </x:c>
      <x:c r="G286" s="59" t="str">
        <x:v>Remaining interest across all open Charges without a Charge Date filter; may include prior-period arrears.</x:v>
      </x:c>
      <x:c r="H286" s="59" t="str">
        <x:v>SUM(Charges[Interest Remaining])</x:v>
      </x:c>
    </x:row>
    <x:row r="287" ht="15" customHeight="1">
      <x:c r="A287" s="57" t="str">
        <x:v>Statistics</x:v>
      </x:c>
      <x:c r="B287" s="57" t="n">
        <x:v>14</x:v>
      </x:c>
      <x:c r="C287" s="59" t="str">
        <x:v>Net Principal Days MTD</x:v>
      </x:c>
      <x:c r="D287" s="59" t="str">
        <x:v>VC / Number</x:v>
      </x:c>
      <x:c r="E287" s="57" t="str">
        <x:v>OLTP + OLAP</x:v>
      </x:c>
      <x:c r="F287" s="57" t="str">
        <x:v>Show: FALSE</x:v>
      </x:c>
      <x:c r="G287" s="59" t="str">
        <x:v>Derived date, time-window, age, or delinquency measure.</x:v>
      </x:c>
      <x:c r="H287" s="59" t="str">
        <x:v>SUM(Loans[Principal Days MTD]) - SUM(Repayments[Principal Returned Days MTD])</x:v>
      </x:c>
    </x:row>
    <x:row r="288" ht="15" customHeight="1">
      <x:c r="A288" s="57" t="str">
        <x:v>Statistics</x:v>
      </x:c>
      <x:c r="B288" s="57" t="n">
        <x:v>15</x:v>
      </x:c>
      <x:c r="C288" s="59" t="str">
        <x:v>Forecast Remaining Principal Days</x:v>
      </x:c>
      <x:c r="D288" s="59" t="str">
        <x:v>VC / Number</x:v>
      </x:c>
      <x:c r="E288" s="57" t="str">
        <x:v>OLTP + OLAP</x:v>
      </x:c>
      <x:c r="F288" s="57" t="str">
        <x:v>Show: FALSE</x:v>
      </x:c>
      <x:c r="G288" s="59" t="str">
        <x:v>Derived date, time-window, age, or delinquency measure.</x:v>
      </x:c>
      <x:c r="H288" s="59" t="str">
        <x:v>[Outstanding Principal] * ( DAY(EOMONTH(TODAY(), 0)) - DAY(TODAY()) )</x:v>
      </x:c>
    </x:row>
    <x:row r="289" ht="15" customHeight="1">
      <x:c r="A289" s="57" t="str">
        <x:v>Statistics</x:v>
      </x:c>
      <x:c r="B289" s="57" t="n">
        <x:v>16</x:v>
      </x:c>
      <x:c r="C289" s="59" t="str">
        <x:v>Forecast Average Daily Outstanding Principal</x:v>
      </x:c>
      <x:c r="D289" s="59" t="str">
        <x:v>VC / Price</x:v>
      </x:c>
      <x:c r="E289" s="57" t="str">
        <x:v>OLTP + OLAP</x:v>
      </x:c>
      <x:c r="F289" s="57" t="str">
        <x:v>Show: FALSE</x:v>
      </x:c>
      <x:c r="G289" s="59" t="str">
        <x:v>Derived date, time-window, age, or delinquency measure.</x:v>
      </x:c>
      <x:c r="H289" s="59" t="str">
        <x:v>( [Net Principal Days MTD] + [Forecast Remaining Principal Days] )/ DAY(EOMONTH(TODAY(), 0))</x:v>
      </x:c>
    </x:row>
    <x:row r="290" ht="15" customHeight="1">
      <x:c r="A290" s="57" t="str">
        <x:v>Statistics</x:v>
      </x:c>
      <x:c r="B290" s="57" t="n">
        <x:v>17</x:v>
      </x:c>
      <x:c r="C290" s="59" t="str">
        <x:v>Forecast Monthly Return on ADO</x:v>
      </x:c>
      <x:c r="D290" s="59" t="str">
        <x:v>VC / Percent</x:v>
      </x:c>
      <x:c r="E290" s="57" t="str">
        <x:v>OLTP + OLAP</x:v>
      </x:c>
      <x:c r="F290" s="57" t="str">
        <x:v>-</x:v>
      </x:c>
      <x:c r="G290" s="59" t="str">
        <x:v>Derived ratio or performance measure calculated from governed source values.</x:v>
      </x:c>
      <x:c r="H290" s="59" t="str">
        <x:v>IF( [Forecast Average Daily Outstanding Principal] &gt; 0, [Projected Monthly Profit] / [Forecast Average Daily Outstanding Principal], 0)</x:v>
      </x:c>
    </x:row>
    <x:row r="291" ht="21.600000381469727" customHeight="1">
      <x:c r="A291" s="57" t="str">
        <x:v>Statistics</x:v>
      </x:c>
      <x:c r="B291" s="57" t="n">
        <x:v>18</x:v>
      </x:c>
      <x:c r="C291" s="59" t="str">
        <x:v>Peak Cash Pool 30D</x:v>
      </x:c>
      <x:c r="D291" s="59" t="str">
        <x:v>VC / Price</x:v>
      </x:c>
      <x:c r="E291" s="57" t="str">
        <x:v>OLAP only</x:v>
      </x:c>
      <x:c r="F291" s="57" t="str">
        <x:v>-</x:v>
      </x:c>
      <x:c r="G291" s="59" t="str">
        <x:v>Derived financial aggregate or balance for operational or analytical use.</x:v>
      </x:c>
      <x:c r="H291" s="59" t="str">
        <x:v>IF( COUNT(Daily Analytics 30 Days[Row ID]) &gt; 0, MAX(Daily Analytics 30 Days[Outstanding Principal EOD]), 0)</x:v>
      </x:c>
    </x:row>
    <x:row r="292" ht="15" customHeight="1">
      <x:c r="A292" s="57" t="str">
        <x:v>Statistics</x:v>
      </x:c>
      <x:c r="B292" s="57" t="n">
        <x:v>19</x:v>
      </x:c>
      <x:c r="C292" s="59" t="str">
        <x:v>Peak Cash Pool Date 30D</x:v>
      </x:c>
      <x:c r="D292" s="59" t="str">
        <x:v>VC / Date</x:v>
      </x:c>
      <x:c r="E292" s="57" t="str">
        <x:v>OLAP only</x:v>
      </x:c>
      <x:c r="F292" s="57" t="str">
        <x:v>-</x:v>
      </x:c>
      <x:c r="G292" s="59" t="str">
        <x:v>Derived date, time-window, age, or delinquency measure.</x:v>
      </x:c>
      <x:c r="H292" s="59" t="str">
        <x:v>MAX( SELECT( Daily Analytics 30 Days[Snapshot Date], [Outstanding Principal EOD] = [_THISROW].[Peak Cash Pool 30D] ))</x:v>
      </x:c>
    </x:row>
    <x:row r="293" ht="15" customHeight="1">
      <x:c r="A293" s="57" t="str">
        <x:v>Statistics</x:v>
      </x:c>
      <x:c r="B293" s="57" t="n">
        <x:v>20</x:v>
      </x:c>
      <x:c r="C293" s="59" t="str">
        <x:v>Expected Daily Interest</x:v>
      </x:c>
      <x:c r="D293" s="59" t="str">
        <x:v>VC / Price</x:v>
      </x:c>
      <x:c r="E293" s="57" t="str">
        <x:v>OLTP + OLAP</x:v>
      </x:c>
      <x:c r="F293" s="57" t="str">
        <x:v>-</x:v>
      </x:c>
      <x:c r="G293" s="59" t="str">
        <x:v>Derived financial aggregate or balance for operational or analytical use.</x:v>
      </x:c>
      <x:c r="H293" s="59" t="str">
        <x:v>SUM(Loans[Expected Daily Interest Amount])</x:v>
      </x:c>
    </x:row>
    <x:row r="294" ht="15" customHeight="1">
      <x:c r="A294" s="57" t="str">
        <x:v>Statistics</x:v>
      </x:c>
      <x:c r="B294" s="57" t="n">
        <x:v>21</x:v>
      </x:c>
      <x:c r="C294" s="59" t="str">
        <x:v>Total Profit of Outstanding Loans</x:v>
      </x:c>
      <x:c r="D294" s="59" t="str">
        <x:v>VC / Price</x:v>
      </x:c>
      <x:c r="E294" s="57" t="str">
        <x:v>OLTP + OLAP</x:v>
      </x:c>
      <x:c r="F294" s="57" t="str">
        <x:v>-</x:v>
      </x:c>
      <x:c r="G294" s="59" t="str">
        <x:v>Derived financial aggregate or balance for operational or analytical use.</x:v>
      </x:c>
      <x:c r="H294" s="59" t="str">
        <x:v>SUM(SELECT(Loans[Total Interest Received], [Loan Status] = "ยังไม่ปิดยอด"))</x:v>
      </x:c>
    </x:row>
    <x:row r="295" ht="15" customHeight="1">
      <x:c r="A295" s="57" t="str">
        <x:v>Statistics</x:v>
      </x:c>
      <x:c r="B295" s="57" t="n">
        <x:v>22</x:v>
      </x:c>
      <x:c r="C295" s="59" t="str">
        <x:v>Profit Coverage of Outstanding Principal</x:v>
      </x:c>
      <x:c r="D295" s="59" t="str">
        <x:v>VC / Percent</x:v>
      </x:c>
      <x:c r="E295" s="57" t="str">
        <x:v>OLTP + OLAP</x:v>
      </x:c>
      <x:c r="F295" s="57" t="str">
        <x:v>-</x:v>
      </x:c>
      <x:c r="G295" s="59" t="str">
        <x:v>Derived ratio or performance measure calculated from governed source values.</x:v>
      </x:c>
      <x:c r="H295" s="59" t="str">
        <x:v>IF([Outstanding Principal] &gt; 0, [Total Profit of Outstanding Loans] / [Outstanding Principal], 0)</x:v>
      </x:c>
    </x:row>
    <x:row r="296" ht="15" customHeight="1">
      <x:c r="A296" s="57" t="str">
        <x:v>Statistics</x:v>
      </x:c>
      <x:c r="B296" s="57" t="n">
        <x:v>23</x:v>
      </x:c>
      <x:c r="C296" s="59" t="str">
        <x:v>Header - Outstanding Loans</x:v>
      </x:c>
      <x:c r="D296" s="59" t="str">
        <x:v>VC / Text</x:v>
      </x:c>
      <x:c r="E296" s="57" t="str">
        <x:v>OLTP + OLAP</x:v>
      </x:c>
      <x:c r="F296" s="57" t="str">
        <x:v>-</x:v>
      </x:c>
      <x:c r="G296" s="59" t="str">
        <x:v>Presentation-oriented label or bilingual display value.</x:v>
      </x:c>
      <x:c r="H296" s="59" t="str">
        <x:v>"──── สินเชื่อคงค้าง / Outstanding Loans ────"</x:v>
      </x:c>
    </x:row>
    <x:row r="297" ht="15" customHeight="1">
      <x:c r="A297" s="57" t="str">
        <x:v>Statistics</x:v>
      </x:c>
      <x:c r="B297" s="57" t="n">
        <x:v>24</x:v>
      </x:c>
      <x:c r="C297" s="59" t="str">
        <x:v>Header - Monthly Forecast</x:v>
      </x:c>
      <x:c r="D297" s="59" t="str">
        <x:v>VC / Text</x:v>
      </x:c>
      <x:c r="E297" s="57" t="str">
        <x:v>OLTP + OLAP</x:v>
      </x:c>
      <x:c r="F297" s="57" t="str">
        <x:v>-</x:v>
      </x:c>
      <x:c r="G297" s="59" t="str">
        <x:v>Presentation-oriented label or bilingual display value.</x:v>
      </x:c>
      <x:c r="H297" s="59" t="str">
        <x:v>"──── พยากรณ์ / Forecast ────"</x:v>
      </x:c>
    </x:row>
    <x:row r="298" ht="15" customHeight="1">
      <x:c r="A298" s="57" t="str">
        <x:v>Statistics</x:v>
      </x:c>
      <x:c r="B298" s="57" t="n">
        <x:v>25</x:v>
      </x:c>
      <x:c r="C298" s="59" t="str">
        <x:v>Total Cash Pool</x:v>
      </x:c>
      <x:c r="D298" s="59" t="str">
        <x:v>VC / Price</x:v>
      </x:c>
      <x:c r="E298" s="57" t="str">
        <x:v>OLAP only</x:v>
      </x:c>
      <x:c r="F298" s="57" t="str">
        <x:v>-</x:v>
      </x:c>
      <x:c r="G298" s="59" t="str">
        <x:v>Derived financial aggregate or balance for operational or analytical use.</x:v>
      </x:c>
      <x:c r="H298" s="59" t="str">
        <x:v>SUM(Cash Pool Contributions[Net Contribution])</x:v>
      </x:c>
    </x:row>
    <x:row r="299" ht="15" customHeight="1">
      <x:c r="A299" s="57" t="str">
        <x:v>Statistics</x:v>
      </x:c>
      <x:c r="B299" s="57" t="n">
        <x:v>26</x:v>
      </x:c>
      <x:c r="C299" s="59" t="str">
        <x:v>Total Unsettled Profit</x:v>
      </x:c>
      <x:c r="D299" s="59" t="str">
        <x:v>VC / Price</x:v>
      </x:c>
      <x:c r="E299" s="57" t="str">
        <x:v>OLAP only</x:v>
      </x:c>
      <x:c r="F299" s="57" t="str">
        <x:v>-</x:v>
      </x:c>
      <x:c r="G299" s="59" t="str">
        <x:v>Derived financial aggregate or balance for operational or analytical use.</x:v>
      </x:c>
      <x:c r="H299" s="59" t="str">
        <x:v>SUM(Partners[Total Profit Earned]) - SUM(Partners[Completed Settlement])</x:v>
      </x:c>
    </x:row>
    <x:row r="300" ht="15" customHeight="1">
      <x:c r="A300" s="57" t="str">
        <x:v>Statistics</x:v>
      </x:c>
      <x:c r="B300" s="57" t="n">
        <x:v>27</x:v>
      </x:c>
      <x:c r="C300" s="59" t="str">
        <x:v>Expected Loan Account Balance</x:v>
      </x:c>
      <x:c r="D300" s="59" t="str">
        <x:v>VC / Price</x:v>
      </x:c>
      <x:c r="E300" s="57" t="str">
        <x:v>OLAP only</x:v>
      </x:c>
      <x:c r="F300" s="57" t="str">
        <x:v>-</x:v>
      </x:c>
      <x:c r="G300" s="59" t="str">
        <x:v>Derived count used for workload, portfolio, or risk analysis.</x:v>
      </x:c>
      <x:c r="H300" s="59" t="str">
        <x:v>[Total Cash Pool]-[Outstanding Principal]+[Total Unsettled Profit]</x:v>
      </x:c>
    </x:row>
    <x:row r="301">
      <x:c r="A301" s="57" t="str">
        <x:v>Statistics</x:v>
      </x:c>
      <x:c r="B301" s="57" t="n">
        <x:v>28</x:v>
      </x:c>
      <x:c r="C301" s="59" t="str">
        <x:v>Header - Cash Pool</x:v>
      </x:c>
      <x:c r="D301" s="59" t="str">
        <x:v>VC / Text</x:v>
      </x:c>
      <x:c r="E301" s="57" t="str">
        <x:v>OLAP only</x:v>
      </x:c>
      <x:c r="F301" s="57" t="str">
        <x:v>-</x:v>
      </x:c>
      <x:c r="G301" s="59" t="str">
        <x:v>Presentation-oriented label or bilingual display value.</x:v>
      </x:c>
      <x:c r="H301" s="59" t="str">
        <x:v>"──── เงินกองกลาง / Cash Pool ────"</x:v>
      </x:c>
    </x:row>
    <x:row r="302">
      <x:c r="A302" s="57" t="str">
        <x:v>Statistics</x:v>
      </x:c>
      <x:c r="B302" s="57" t="n">
        <x:v>29</x:v>
      </x:c>
      <x:c r="C302" s="59" t="str">
        <x:v>Total Outstanding Principal</x:v>
      </x:c>
      <x:c r="D302" s="59" t="str">
        <x:v>VC / Price</x:v>
      </x:c>
      <x:c r="E302" s="57" t="str">
        <x:v>OLAP only</x:v>
      </x:c>
      <x:c r="F302" s="57" t="str">
        <x:v>-</x:v>
      </x:c>
      <x:c r="G302" s="59" t="str">
        <x:v>Derived financial aggregate or balance for operational or analytical use.</x:v>
      </x:c>
      <x:c r="H302" s="59" t="str">
        <x:v>[Outstanding Principal]</x:v>
      </x:c>
    </x:row>
    <x:row r="303">
      <x:c r="A303" s="57" t="str">
        <x:v>Statistics</x:v>
      </x:c>
      <x:c r="B303" s="57" t="n">
        <x:v>30</x:v>
      </x:c>
      <x:c r="C303" s="59" t="str">
        <x:v>Top 3 Borrower Concentration</x:v>
      </x:c>
      <x:c r="D303" s="59" t="str">
        <x:v>VC / Percent</x:v>
      </x:c>
      <x:c r="E303" s="57" t="str">
        <x:v>OLAP only</x:v>
      </x:c>
      <x:c r="F303" s="57" t="str">
        <x:v>-</x:v>
      </x:c>
      <x:c r="G303" s="59" t="str">
        <x:v>Derived AppSheet value used by the app workflow, presentation, or reporting model.</x:v>
      </x:c>
      <x:c r="H303" s="59" t="str">
        <x:v>IF( [Total Outstanding Principal] = 0, 0, SUM( TOP( SORT( SELECT( Borrowers[Total Outstanding Principal], [Total Outstanding Principal] &gt; 0 ), TRUE ), 3 ) ) / [Total Outstanding Principal])</x:v>
      </x:c>
    </x:row>
    <x:row r="304">
      <x:c r="A304" s="57" t="str">
        <x:v>Statistics</x:v>
      </x:c>
      <x:c r="B304" s="57" t="n">
        <x:v>31</x:v>
      </x:c>
      <x:c r="C304" s="59" t="str">
        <x:v>Borrowers Fully Paid Today</x:v>
      </x:c>
      <x:c r="D304" s="59" t="str">
        <x:v>VC / Number</x:v>
      </x:c>
      <x:c r="E304" s="57" t="str">
        <x:v>OLTP + OLAP</x:v>
      </x:c>
      <x:c r="F304" s="57" t="str">
        <x:v>Show_If: COUNT( SELECT( Borrowers[Row ID], [Daily Collection Status] = "Fully Paid" )) &gt; 0; Searchable</x:v>
      </x:c>
      <x:c r="G304" s="59" t="str">
        <x:v>Derived AppSheet value used by the app workflow, presentation, or reporting model.</x:v>
      </x:c>
      <x:c r="H304" s="59" t="str">
        <x:v>COUNT( SELECT( Borrowers[Row ID], [Daily Collection Status] = "Fully Paid" ))</x:v>
      </x:c>
    </x:row>
    <x:row r="305">
      <x:c r="A305" s="57" t="str">
        <x:v>Statistics</x:v>
      </x:c>
      <x:c r="B305" s="57" t="n">
        <x:v>32</x:v>
      </x:c>
      <x:c r="C305" s="59" t="str">
        <x:v>Borrowers Partially Paid Today</x:v>
      </x:c>
      <x:c r="D305" s="59" t="str">
        <x:v>VC / Number</x:v>
      </x:c>
      <x:c r="E305" s="57" t="str">
        <x:v>OLTP + OLAP</x:v>
      </x:c>
      <x:c r="F305" s="57" t="str">
        <x:v>Show_If: COUNT( SELECT( Borrowers[Row ID], [Daily Collection Status] = "Partially Paid" )) &gt; 0; Searchable</x:v>
      </x:c>
      <x:c r="G305" s="59" t="str">
        <x:v>Derived AppSheet value used by the app workflow, presentation, or reporting model.</x:v>
      </x:c>
      <x:c r="H305" s="59" t="str">
        <x:v>COUNT( SELECT( Borrowers[Row ID], [Daily Collection Status] = "Partially Paid" ))</x:v>
      </x:c>
    </x:row>
    <x:row r="306">
      <x:c r="A306" s="57" t="str">
        <x:v>Statistics</x:v>
      </x:c>
      <x:c r="B306" s="57" t="n">
        <x:v>33</x:v>
      </x:c>
      <x:c r="C306" s="59" t="str">
        <x:v>Borrowers with Overdue Payment</x:v>
      </x:c>
      <x:c r="D306" s="59" t="str">
        <x:v>VC / Number</x:v>
      </x:c>
      <x:c r="E306" s="57" t="str">
        <x:v>OLTP + OLAP</x:v>
      </x:c>
      <x:c r="F306" s="57" t="str">
        <x:v>Show_If: COUNT( SELECT( Borrowers[Row ID], [Daily Collection Status] = "Overdue" )) &gt; 0; Searchable</x:v>
      </x:c>
      <x:c r="G306" s="59" t="str">
        <x:v>Derived AppSheet value used by the app workflow, presentation, or reporting model.</x:v>
      </x:c>
      <x:c r="H306" s="59" t="str">
        <x:v>COUNT( SELECT( Borrowers[Row ID], [Daily Collection Status] = "Overdue" ))</x:v>
      </x:c>
    </x:row>
    <x:row r="307">
      <x:c r="A307" s="57" t="str">
        <x:v>Statistics</x:v>
      </x:c>
      <x:c r="B307" s="57" t="n">
        <x:v>34</x:v>
      </x:c>
      <x:c r="C307" s="59" t="str">
        <x:v>Borrowers Not Paid Today</x:v>
      </x:c>
      <x:c r="D307" s="59" t="str">
        <x:v>VC / Number</x:v>
      </x:c>
      <x:c r="E307" s="57" t="str">
        <x:v>OLTP + OLAP</x:v>
      </x:c>
      <x:c r="F307" s="57" t="str">
        <x:v>Show_If: COUNT( SELECT( Borrowers[Row ID], [Daily Collection Status] = "Not Paid" )) &gt; 0; Searchable</x:v>
      </x:c>
      <x:c r="G307" s="59" t="str">
        <x:v>Derived AppSheet value used by the app workflow, presentation, or reporting model.</x:v>
      </x:c>
      <x:c r="H307" s="59" t="str">
        <x:v>COUNT( SELECT( Borrowers[Row ID], [Daily Collection Status] = "Not Paid" ))</x:v>
      </x:c>
    </x:row>
    <x:row r="308">
      <x:c r="A308" s="57" t="str">
        <x:v>Statistics</x:v>
      </x:c>
      <x:c r="B308" s="57" t="n">
        <x:v>35</x:v>
      </x:c>
      <x:c r="C308" s="59" t="str">
        <x:v>Header - Collection Status</x:v>
      </x:c>
      <x:c r="D308" s="59" t="str">
        <x:v>VC / Text</x:v>
      </x:c>
      <x:c r="E308" s="57" t="str">
        <x:v>OLTP + OLAP</x:v>
      </x:c>
      <x:c r="F308" s="57" t="str">
        <x:v>-</x:v>
      </x:c>
      <x:c r="G308" s="59" t="str">
        <x:v>Presentation-oriented label or bilingual display value.</x:v>
      </x:c>
      <x:c r="H308" s="59" t="str">
        <x:v>"──── สถานะชำระ / Collection ────"</x:v>
      </x:c>
    </x:row>
    <x:row r="309">
      <x:c r="A309" t="str">
        <x:v>Statistics</x:v>
      </x:c>
      <x:c r="B309" t="n">
        <x:v>36</x:v>
      </x:c>
      <x:c r="C309" t="str">
        <x:v>Amount Due Today</x:v>
      </x:c>
      <x:c r="D309" t="str">
        <x:v>VC / Price</x:v>
      </x:c>
      <x:c r="E309" t="str">
        <x:v>OLAP only</x:v>
      </x:c>
      <x:c r="F309" t="str">
        <x:v>-</x:v>
      </x:c>
      <x:c r="G309" t="str">
        <x:v>Derived financial aggregate or balance for operational or analytical use.</x:v>
      </x:c>
      <x:c r="H309" t="str">
        <x:v>SUM( SELECT( Charges[Amount Due], [Charge Date] = TODAY() ))</x:v>
      </x:c>
    </x:row>
    <x:row r="310">
      <x:c r="A310" t="str">
        <x:v>Statistics</x:v>
      </x:c>
      <x:c r="B310" t="n">
        <x:v>37</x:v>
      </x:c>
      <x:c r="C310" t="str">
        <x:v>Amount Collected Today</x:v>
      </x:c>
      <x:c r="D310" t="str">
        <x:v>VC / Price</x:v>
      </x:c>
      <x:c r="E310" t="str">
        <x:v>OLAP only</x:v>
      </x:c>
      <x:c r="F310" t="str">
        <x:v>-</x:v>
      </x:c>
      <x:c r="G310" t="str">
        <x:v>Derived financial aggregate or balance for operational or analytical use.</x:v>
      </x:c>
      <x:c r="H310" t="str">
        <x:v>SUM( SELECT( Charges[Total Paid], [Charge Date] = TODAY() ))</x:v>
      </x:c>
    </x:row>
    <x:row r="311">
      <x:c r="A311" t="str">
        <x:v>Statistics</x:v>
      </x:c>
      <x:c r="B311" t="n">
        <x:v>38</x:v>
      </x:c>
      <x:c r="C311" t="str">
        <x:v>Amount Outstanding Today</x:v>
      </x:c>
      <x:c r="D311" t="str">
        <x:v>VC / Price</x:v>
      </x:c>
      <x:c r="E311" t="str">
        <x:v>OLAP only</x:v>
      </x:c>
      <x:c r="F311" t="str">
        <x:v>-</x:v>
      </x:c>
      <x:c r="G311" t="str">
        <x:v>Derived financial aggregate or balance for operational or analytical use.</x:v>
      </x:c>
      <x:c r="H311" t="str">
        <x:v>SUM( SELECT( Charges[Amount Remaining], [Charge Date] = TODAY() ))</x:v>
      </x:c>
    </x:row>
    <x:row r="312">
      <x:c r="A312" t="str">
        <x:v>Borrowers</x:v>
      </x:c>
      <x:c r="B312" t="n">
        <x:v>62</x:v>
      </x:c>
      <x:c r="C312" t="str">
        <x:v>Matrix Active Borrower Count</x:v>
      </x:c>
      <x:c r="D312" t="str">
        <x:v>VC / Number</x:v>
      </x:c>
      <x:c r="E312" t="str">
        <x:v>OLAP only</x:v>
      </x:c>
      <x:c r="F312" t="str">
        <x:v>Hidden; matrix helper</x:v>
      </x:c>
      <x:c r="G312" t="str">
        <x:v>Dynamic active-borrower population used to calculate the equal-share contribution benchmark.</x:v>
      </x:c>
      <x:c r="H312" t="str">
        <x:v>COUNT(SELECT(Borrowers[Row ID], [Has Active Loan] = TRUE))</x:v>
      </x:c>
    </x:row>
    <x:row r="313">
      <x:c r="A313" t="str">
        <x:v>Borrowers</x:v>
      </x:c>
      <x:c r="B313" t="n">
        <x:v>63</x:v>
      </x:c>
      <x:c r="C313" t="str">
        <x:v>Matrix Equal Share Benchmark</x:v>
      </x:c>
      <x:c r="D313" t="str">
        <x:v>VC / Percent</x:v>
      </x:c>
      <x:c r="E313" t="str">
        <x:v>OLAP only</x:v>
      </x:c>
      <x:c r="F313" t="str">
        <x:v>Hidden; matrix helper</x:v>
      </x:c>
      <x:c r="G313" t="str">
        <x:v>Equal-share economic-contribution benchmark; one divided by the current active-borrower count.</x:v>
      </x:c>
      <x:c r="H313" t="str">
        <x:v>IF([Matrix Active Borrower Count] &gt; 0, 1 / [Matrix Active Borrower Count], "")</x:v>
      </x:c>
    </x:row>
    <x:row r="314">
      <x:c r="A314" t="str">
        <x:v>Borrowers</x:v>
      </x:c>
      <x:c r="B314" t="n">
        <x:v>64</x:v>
      </x:c>
      <x:c r="C314" t="str">
        <x:v>Matrix Economic Contribution</x:v>
      </x:c>
      <x:c r="D314" t="str">
        <x:v>VC / Percent</x:v>
      </x:c>
      <x:c r="E314" t="str">
        <x:v>OLAP only</x:v>
      </x:c>
      <x:c r="F314" t="str">
        <x:v>Hidden; matrix X-axis</x:v>
      </x:c>
      <x:c r="G314" t="str">
        <x:v>Borrower share of positive realized interest profit over the trailing 30-day window among active borrowers.</x:v>
      </x:c>
      <x:c r="H314" t="str">
        <x:v>IF(SUM(SELECT(Borrowers[Profit Last 30 Days], [Has Active Loan] = TRUE)) &gt; 0, [Profit Last 30 Days] / SUM(SELECT(Borrowers[Profit Last 30 Days], [Has Active Loan] = TRUE)), "")</x:v>
      </x:c>
    </x:row>
    <x:row r="315">
      <x:c r="A315" t="str">
        <x:v>Borrowers</x:v>
      </x:c>
      <x:c r="B315" t="n">
        <x:v>65</x:v>
      </x:c>
      <x:c r="C315" t="str">
        <x:v>Matrix Recent Reliability Score</x:v>
      </x:c>
      <x:c r="D315" t="str">
        <x:v>VC / Number</x:v>
      </x:c>
      <x:c r="E315" t="str">
        <x:v>OLAP only</x:v>
      </x:c>
      <x:c r="F315" t="str">
        <x:v>Hidden; 0-100 component</x:v>
      </x:c>
      <x:c r="G315" t="str">
        <x:v>Recent 30-day on-time performance component of the stability score.</x:v>
      </x:c>
      <x:c r="H315" t="str">
        <x:v>IF([Recent 30D Charge Count] = 0, "", 100 * [Recent 30D On Time Count] / [Recent 30D Charge Count])</x:v>
      </x:c>
    </x:row>
    <x:row r="316">
      <x:c r="A316" t="str">
        <x:v>Borrowers</x:v>
      </x:c>
      <x:c r="B316" t="n">
        <x:v>66</x:v>
      </x:c>
      <x:c r="C316" t="str">
        <x:v>Matrix Historical Reliability Score</x:v>
      </x:c>
      <x:c r="D316" t="str">
        <x:v>VC / Number</x:v>
      </x:c>
      <x:c r="E316" t="str">
        <x:v>OLAP only</x:v>
      </x:c>
      <x:c r="F316" t="str">
        <x:v>Hidden; 0-100 component</x:v>
      </x:c>
      <x:c r="G316" t="str">
        <x:v>Trailing 180-day on-time performance component of the stability score.</x:v>
      </x:c>
      <x:c r="H316" t="str">
        <x:v>IF(COUNT(SELECT(Charges[Row ID], AND([Ref Loans].[Ref Borrowers] = [_THISROW].[Row ID], [Charge Date] &gt;= TODAY() - 180, [Charge Date] &lt; TODAY()))) = 0, "", 100 * COUNT(SELECT(Charges[Row ID], AND([Ref Loans].[Ref Borrowers] = [_THISROW].[Row ID], [Charge Date] &gt;= TODAY() - 180, [Charge Date] &lt; TODAY(), [Historical On Time] = TRUE))) / COUNT(SELECT(Charges[Row ID], AND([Ref Loans].[Ref Borrowers] = [_THISROW].[Row ID], [Charge Date] &gt;= TODAY() - 180, [Charge Date] &lt; TODAY()))))</x:v>
      </x:c>
    </x:row>
    <x:row r="317">
      <x:c r="A317" t="str">
        <x:v>Borrowers</x:v>
      </x:c>
      <x:c r="B317" t="n">
        <x:v>67</x:v>
      </x:c>
      <x:c r="C317" t="str">
        <x:v>Matrix Delay Severity Score</x:v>
      </x:c>
      <x:c r="D317" t="str">
        <x:v>VC / Number</x:v>
      </x:c>
      <x:c r="E317" t="str">
        <x:v>OLAP only</x:v>
      </x:c>
      <x:c r="F317" t="str">
        <x:v>Hidden; 0-100 component</x:v>
      </x:c>
      <x:c r="G317" t="str">
        <x:v>Trailing 90-day delay-severity component, with default status taking precedence over days-late bands.</x:v>
      </x:c>
      <x:c r="H317" t="str">
        <x:v>IF(COUNT(SELECT(Charges[Row ID], AND([Ref Loans].[Ref Borrowers] = [_THISROW].[Row ID], [Charge Date] &gt;= TODAY() - 90, [Charge Date] &lt; TODAY()))) = 0, "", IFS(COUNT(SELECT(Charges[Row ID], AND([Ref Loans].[Ref Borrowers] = [_THISROW].[Row ID], [Charge Date] &gt;= TODAY() - 90, [Charge Date] &lt; TODAY(), [Ref Loans].[Defaulted] = TRUE))) &gt; 0, 0, MAX(LIST(0) + SELECT(Charges[Days Late], AND([Ref Loans].[Ref Borrowers] = [_THISROW].[Row ID], [Charge Date] &gt;= TODAY() - 90, [Charge Date] &lt; TODAY()))) = 0, 100, MAX(LIST(0) + SELECT(Charges[Days Late], AND([Ref Loans].[Ref Borrowers] = [_THISROW].[Row ID], [Charge Date] &gt;= TODAY() - 90, [Charge Date] &lt; TODAY()))) &lt;= 1, 90, MAX(LIST(0) + SELECT(Charges[Days Late], AND([Ref Loans].[Ref Borrowers] = [_THISROW].[Row ID], [Charge Date] &gt;= TODAY() - 90, [Charge Date] &lt; TODAY()))) &lt;= 3, 70, MAX(LIST(0) + SELECT(Charges[Days Late], AND([Ref Loans].[Ref Borrowers] = [_THISROW].[Row ID], [Charge Date] &gt;= TODAY() - 90, [Charge Date] &lt; TODAY()))) &lt;= 7, 40, TRUE, 10))</x:v>
      </x:c>
    </x:row>
    <x:row r="318">
      <x:c r="A318" t="str">
        <x:v>Borrowers</x:v>
      </x:c>
      <x:c r="B318" t="n">
        <x:v>68</x:v>
      </x:c>
      <x:c r="C318" t="str">
        <x:v>Matrix Current Condition Score</x:v>
      </x:c>
      <x:c r="D318" t="str">
        <x:v>VC / Number</x:v>
      </x:c>
      <x:c r="E318" t="str">
        <x:v>OLAP only</x:v>
      </x:c>
      <x:c r="F318" t="str">
        <x:v>Hidden; 0-100 component</x:v>
      </x:c>
      <x:c r="G318" t="str">
        <x:v>Current repayment-condition component; due-today items are not overdue and partial due-today payment scores separately.</x:v>
      </x:c>
      <x:c r="H318" t="str">
        <x:v>IFS(COUNT(SELECT(Loans[Row ID], AND([Ref Borrowers] = [_THISROW].[Row ID], [Defaulted] = TRUE, [Outstanding Principal] &gt; 0))) &gt; 0, 0, COUNT(SELECT(Charges[Row ID], AND([Ref Loans].[Ref Borrowers] = [_THISROW].[Row ID], [Charge Date] &lt; TODAY(), [Amount Remaining] &gt; 0, [Days Late] &gt; 3))) &gt; 0, 20, COUNT(SELECT(Charges[Row ID], AND([Ref Loans].[Ref Borrowers] = [_THISROW].[Row ID], [Charge Date] &lt; TODAY(), [Amount Remaining] &gt; 0, [Days Late] &gt;= 2))) &gt; 0, 40, COUNT(SELECT(Charges[Row ID], AND([Ref Loans].[Ref Borrowers] = [_THISROW].[Row ID], [Charge Date] &lt; TODAY(), [Amount Remaining] &gt; 0, [Days Late] &gt;= 1))) &gt; 0, 60, COUNT(SELECT(Charges[Row ID], AND([Ref Loans].[Ref Borrowers] = [_THISROW].[Row ID], [Charge Date] = TODAY(), [Amount Remaining] &gt; 0, [Total Paid] &gt; 0))) &gt; 0, 75, COUNT(SELECT(Charges[Row ID], AND([Ref Loans].[Ref Borrowers] = [_THISROW].[Row ID], [Charge Date] = TODAY(), [Amount Remaining] &gt; 0))) &gt; 0, 90, TRUE, 100)</x:v>
      </x:c>
    </x:row>
    <x:row r="319">
      <x:c r="A319" t="str">
        <x:v>Borrowers</x:v>
      </x:c>
      <x:c r="B319" t="n">
        <x:v>69</x:v>
      </x:c>
      <x:c r="C319" t="str">
        <x:v>Matrix History Sufficient</x:v>
      </x:c>
      <x:c r="D319" t="str">
        <x:v>VC / Yes/No</x:v>
      </x:c>
      <x:c r="E319" t="str">
        <x:v>OLAP only</x:v>
      </x:c>
      <x:c r="F319" t="str">
        <x:v>Hidden; matrix quality flag</x:v>
      </x:c>
      <x:c r="G319" t="str">
        <x:v>Flags borrowers with at least three past-due obligations spanning at least 30 days.</x:v>
      </x:c>
      <x:c r="H319" t="str">
        <x:v>IF(COUNT(SELECT(Charges[Row ID], AND([Ref Loans].[Ref Borrowers] = [_THISROW].[Row ID], [Charge Date] &lt; TODAY()))) &lt; 3, FALSE, TOTALHOURS(TODAY() - MIN(SELECT(Charges[Charge Date], AND([Ref Loans].[Ref Borrowers] = [_THISROW].[Row ID], [Charge Date] &lt; TODAY())))) &gt;= 720)</x:v>
      </x:c>
    </x:row>
    <x:row r="320">
      <x:c r="A320" t="str">
        <x:v>Borrowers</x:v>
      </x:c>
      <x:c r="B320" t="n">
        <x:v>70</x:v>
      </x:c>
      <x:c r="C320" t="str">
        <x:v>Matrix Stability Score</x:v>
      </x:c>
      <x:c r="D320" t="str">
        <x:v>VC / Number</x:v>
      </x:c>
      <x:c r="E320" t="str">
        <x:v>OLAP only</x:v>
      </x:c>
      <x:c r="F320" t="str">
        <x:v>Hidden; matrix Y-axis; 0-100</x:v>
      </x:c>
      <x:c r="G320" t="str">
        <x:v>Weighted stability score with available-component normalization: recent reliability 45%, historical reliability 20%, delay severity 20%, and current condition 15%.</x:v>
      </x:c>
      <x:c r="H320" t="str">
        <x:v>ROUND(10 * (IF(ISNOTBLANK([Matrix Recent Reliability Score]), [Matrix Recent Reliability Score] * 0.45, 0) + IF(ISNOTBLANK([Matrix Historical Reliability Score]), [Matrix Historical Reliability Score] * 0.20, 0) + IF(ISNOTBLANK([Matrix Delay Severity Score]), [Matrix Delay Severity Score] * 0.20, 0) + [Matrix Current Condition Score] * 0.15) / (IF(ISNOTBLANK([Matrix Recent Reliability Score]), 0.45, 0) + IF(ISNOTBLANK([Matrix Historical Reliability Score]), 0.20, 0) + IF(ISNOTBLANK([Matrix Delay Severity Score]), 0.20, 0) + 0.15)) / 10</x:v>
      </x:c>
    </x:row>
    <x:row r="321">
      <x:c r="A321" t="str">
        <x:v>Borrowers</x:v>
      </x:c>
      <x:c r="B321" t="n">
        <x:v>71</x:v>
      </x:c>
      <x:c r="C321" t="str">
        <x:v>Matrix Quadrant</x:v>
      </x:c>
      <x:c r="D321" t="str">
        <x:v>VC / Text</x:v>
      </x:c>
      <x:c r="E321" t="str">
        <x:v>OLAP only</x:v>
      </x:c>
      <x:c r="F321" t="str">
        <x:v>Hidden; matrix classification</x:v>
      </x:c>
      <x:c r="G321" t="str">
        <x:v>Assigns active borrowers to Star, Cash Cow, Question Mark, Dog, provisional, or unclassified segments using the equal-share and 80-point thresholds.</x:v>
      </x:c>
      <x:c r="H321" t="str">
        <x:v>IFS([Has Active Loan] = FALSE, "", OR(ISBLANK([Matrix Economic Contribution]), ISBLANK([Matrix Stability Score])), "Unclassified", [Matrix History Sufficient] = FALSE, "Provisional - insufficient history", AND([Matrix Economic Contribution] &gt;= [Matrix Equal Share Benchmark], [Matrix Stability Score] &gt;= 80), "Star", AND([Matrix Economic Contribution] &lt; [Matrix Equal Share Benchmark], [Matrix Stability Score] &gt;= 80), "Cash Cow", AND([Matrix Economic Contribution] &gt;= [Matrix Equal Share Benchmark], [Matrix Stability Score] &lt; 80), "Question Mark", TRUE, "Dog")</x:v>
      </x:c>
    </x:row>
    <x:row r="322">
      <x:c r="A322" t="str">
        <x:v>Borrowers</x:v>
      </x:c>
      <x:c r="B322" t="n">
        <x:v>72</x:v>
      </x:c>
      <x:c r="C322" t="str">
        <x:v>Matrix Bubble Label</x:v>
      </x:c>
      <x:c r="D322" t="str">
        <x:v>VC / Text</x:v>
      </x:c>
      <x:c r="E322" t="str">
        <x:v>OLAP only</x:v>
      </x:c>
      <x:c r="F322" t="str">
        <x:v>Hidden; Looker dimension</x:v>
      </x:c>
      <x:c r="G322" t="str">
        <x:v>Borrower label with its matrix classification for borrower-grain Looker Studio bubbles.</x:v>
      </x:c>
      <x:c r="H322" t="str">
        <x:v>CONCATENATE([Borrower Name], " - " , [Matrix Quadrant])</x:v>
      </x:c>
    </x:row>
    <x:row r="323" ht="130" customHeight="1">
      <x:c r="A323" s="76" t="str">
        <x:v>Payments</x:v>
      </x:c>
      <x:c r="B323" s="76" t="n">
        <x:v>1</x:v>
      </x:c>
      <x:c r="C323" s="76" t="str">
        <x:v>_RowNumber</x:v>
      </x:c>
      <x:c r="D323" s="76" t="str">
        <x:v>Physical / Number</x:v>
      </x:c>
      <x:c r="E323" s="76" t="str">
        <x:v>OLTP only</x:v>
      </x:c>
      <x:c r="F323" s="76" t="str">
        <x:v>Hidden; not key</x:v>
      </x:c>
      <x:c r="G323" s="76" t="str">
        <x:v>Source row ordinal</x:v>
      </x:c>
      <x:c r="H323" s="76" t="str">
        <x:v>System source ordinal</x:v>
      </x:c>
    </x:row>
    <x:row r="324" ht="130" customHeight="1">
      <x:c r="A324" s="76" t="str">
        <x:v>Payments</x:v>
      </x:c>
      <x:c r="B324" s="76" t="n">
        <x:v>2</x:v>
      </x:c>
      <x:c r="C324" s="76" t="str">
        <x:v>Row ID</x:v>
      </x:c>
      <x:c r="D324" s="76" t="str">
        <x:v>Physical / Text</x:v>
      </x:c>
      <x:c r="E324" s="76" t="str">
        <x:v>OLTP only</x:v>
      </x:c>
      <x:c r="F324" s="76" t="str">
        <x:v>Key; required; hidden; not editable</x:v>
      </x:c>
      <x:c r="G324" s="76" t="str">
        <x:v>Stable native database key</x:v>
      </x:c>
      <x:c r="H324" s="76" t="str">
        <x:v>Initial: UNIQUEID("PackedUUID")</x:v>
      </x:c>
    </x:row>
    <x:row r="325" ht="130" customHeight="1">
      <x:c r="A325" s="76" t="str">
        <x:v>Payments</x:v>
      </x:c>
      <x:c r="B325" s="76" t="n">
        <x:v>3</x:v>
      </x:c>
      <x:c r="C325" s="76" t="str">
        <x:v>Status</x:v>
      </x:c>
      <x:c r="D325" s="76" t="str">
        <x:v>Physical / Enum</x:v>
      </x:c>
      <x:c r="E325" s="76" t="str">
        <x:v>OLTP only</x:v>
      </x:c>
      <x:c r="F325" s="76" t="str">
        <x:v>Required; Editable_If FALSE; other values false</x:v>
      </x:c>
      <x:c r="G325" s="76" t="str">
        <x:v>Processing state</x:v>
      </x:c>
      <x:c r="H325" s="76" t="str">
        <x:v>Values: Processing, Posted, Error; initial: "Processing". Base Editable enabled so actions can write; user edits blocked by expression FALSE.</x:v>
      </x:c>
    </x:row>
    <x:row r="326" ht="130" customHeight="1">
      <x:c r="A326" s="76" t="str">
        <x:v>Payments</x:v>
      </x:c>
      <x:c r="B326" s="76" t="n">
        <x:v>5</x:v>
      </x:c>
      <x:c r="C326" s="76" t="str">
        <x:v>Amount Received</x:v>
      </x:c>
      <x:c r="D326" s="76" t="str">
        <x:v>Physical / Price</x:v>
      </x:c>
      <x:c r="E326" s="76" t="str">
        <x:v>OLTP only</x:v>
      </x:c>
      <x:c r="F326" s="76" t="str">
        <x:v>Required; 0 decimals; ฿; locked after creation</x:v>
      </x:c>
      <x:c r="G326" s="76" t="str">
        <x:v>Actual receipt amount</x:v>
      </x:c>
      <x:c r="H326" s="76" t="str">
        <x:v>Editable_If: NOT(IN([Row ID], Payments[Row ID])). Valid If: OR(IN([Row ID], Payments[Row ID]), AND([_THIS] &gt; 0, [_THIS] = ROUND([_THIS]), [_THIS] &lt;= [Eligible Outstanding], IF(IN([Allocation Method], LIST("Single Full", "Receive All", "First-day Auto", "Loan Close")), [_THIS] = [Eligible Outstanding], TRUE))). Description: CONCATENATE("ยอดคงเหลือที่ชำระได้ / Current eligible outstanding: ฿ ", [Eligible Outstanding]). Error unchanged: "Enter a positive whole-baht amount within the eligible outstanding balance. Full-payment methods must equal that balance."</x:v>
      </x:c>
    </x:row>
    <x:row r="327" ht="130" customHeight="1">
      <x:c r="A327" s="76" t="str">
        <x:v>Payments</x:v>
      </x:c>
      <x:c r="B327" s="76" t="n">
        <x:v>6</x:v>
      </x:c>
      <x:c r="C327" s="76" t="str">
        <x:v>Payment Method</x:v>
      </x:c>
      <x:c r="D327" s="76" t="str">
        <x:v>Physical / Enum</x:v>
      </x:c>
      <x:c r="E327" s="76" t="str">
        <x:v>OLTP only</x:v>
      </x:c>
      <x:c r="F327" s="76" t="str">
        <x:v>Required; Text base; other values false; autocomplete true</x:v>
      </x:c>
      <x:c r="G327" s="76" t="str">
        <x:v>Receipt channel</x:v>
      </x:c>
      <x:c r="H327" s="76" t="str">
        <x:v>Values: Bank Transfer, Cash, Net-off at Disbursement. Initial: "Bank Transfer". Editable_If: NOT(IN([Row ID], Payments[Row ID]))</x:v>
      </x:c>
    </x:row>
    <x:row r="328" ht="130" customHeight="1">
      <x:c r="A328" s="76" t="str">
        <x:v>Payments</x:v>
      </x:c>
      <x:c r="B328" s="76" t="n">
        <x:v>7</x:v>
      </x:c>
      <x:c r="C328" s="76" t="str">
        <x:v>Allocation Method</x:v>
      </x:c>
      <x:c r="D328" s="76" t="str">
        <x:v>Physical / Enum</x:v>
      </x:c>
      <x:c r="E328" s="76" t="str">
        <x:v>OLTP only</x:v>
      </x:c>
      <x:c r="F328" s="76" t="str">
        <x:v>Required; Text base; other values false; autocomplete true</x:v>
      </x:c>
      <x:c r="G328" s="76" t="str">
        <x:v>Requested allocation workflow</x:v>
      </x:c>
      <x:c r="H328" s="76" t="str">
        <x:v>Values: Single Full, Single Partial, Receive All, Lump Sum, First-day Auto, Loan Close. Initial: "Lump Sum". Editable_If: FALSE</x:v>
      </x:c>
    </x:row>
    <x:row r="329" ht="130" customHeight="1">
      <x:c r="A329" s="76" t="str">
        <x:v>Payments</x:v>
      </x:c>
      <x:c r="B329" s="76" t="n">
        <x:v>8</x:v>
      </x:c>
      <x:c r="C329" s="76" t="str">
        <x:v>Bank Reference</x:v>
      </x:c>
      <x:c r="D329" s="76" t="str">
        <x:v>Physical / Text</x:v>
      </x:c>
      <x:c r="E329" s="76" t="str">
        <x:v>OLTP only</x:v>
      </x:c>
      <x:c r="F329" s="76" t="str">
        <x:v>Optional; locked while existing receipt is Processing</x:v>
      </x:c>
      <x:c r="G329" s="76" t="str">
        <x:v>Bank transaction reference</x:v>
      </x:c>
      <x:c r="H329" s="76" t="str">
        <x:v>Editable_If: OR(NOT(IN([Row ID], Payments[Row ID])), [Status] &lt;&gt; "Processing"). New form entry and Posted/Error metadata edits allowed.</x:v>
      </x:c>
    </x:row>
    <x:row r="330" ht="130" customHeight="1">
      <x:c r="A330" s="76" t="str">
        <x:v>Payments</x:v>
      </x:c>
      <x:c r="B330" s="76" t="n">
        <x:v>9</x:v>
      </x:c>
      <x:c r="C330" s="76" t="str">
        <x:v>Notes</x:v>
      </x:c>
      <x:c r="D330" s="76" t="str">
        <x:v>Physical / LongText</x:v>
      </x:c>
      <x:c r="E330" s="76" t="str">
        <x:v>OLTP only</x:v>
      </x:c>
      <x:c r="F330" s="76" t="str">
        <x:v>Optional; locked while existing receipt is Processing</x:v>
      </x:c>
      <x:c r="G330" s="76" t="str">
        <x:v>Receipt notes</x:v>
      </x:c>
      <x:c r="H330" s="76" t="str">
        <x:v>Editable_If: OR(NOT(IN([Row ID], Payments[Row ID])), [Status] &lt;&gt; "Processing"). New form entry and Posted/Error metadata edits allowed.</x:v>
      </x:c>
    </x:row>
    <x:row r="331" ht="130" customHeight="1">
      <x:c r="A331" s="76" t="str">
        <x:v>Payments</x:v>
      </x:c>
      <x:c r="B331" s="76" t="n">
        <x:v>10</x:v>
      </x:c>
      <x:c r="C331" s="76" t="str">
        <x:v>Created By</x:v>
      </x:c>
      <x:c r="D331" s="76" t="str">
        <x:v>Physical / Email</x:v>
      </x:c>
      <x:c r="E331" s="76" t="str">
        <x:v>OLTP only</x:v>
      </x:c>
      <x:c r="F331" s="76" t="str">
        <x:v>Editable_If FALSE</x:v>
      </x:c>
      <x:c r="G331" s="76" t="str">
        <x:v>Receipt creator</x:v>
      </x:c>
      <x:c r="H331" s="76" t="str">
        <x:v>Initial: USEREMAIL()</x:v>
      </x:c>
    </x:row>
    <x:row r="332" ht="130" customHeight="1">
      <x:c r="A332" s="76" t="str">
        <x:v>Payments</x:v>
      </x:c>
      <x:c r="B332" s="76" t="n">
        <x:v>11</x:v>
      </x:c>
      <x:c r="C332" s="76" t="str">
        <x:v>Payment Date</x:v>
      </x:c>
      <x:c r="D332" s="76" t="str">
        <x:v>Physical / Date</x:v>
      </x:c>
      <x:c r="E332" s="76" t="str">
        <x:v>OLTP only</x:v>
      </x:c>
      <x:c r="F332" s="76" t="str">
        <x:v>Required; native/app label; locked after creation</x:v>
      </x:c>
      <x:c r="G332" s="76" t="str">
        <x:v>Receipt date</x:v>
      </x:c>
      <x:c r="H332" s="76" t="str">
        <x:v>Initial: TODAY(). Valid If: [_THIS] &lt;= TODAY(). Editable_If: NOT(IN([Row ID], Payments[Row ID]))</x:v>
      </x:c>
    </x:row>
    <x:row r="333" ht="130" customHeight="1">
      <x:c r="A333" s="76" t="str">
        <x:v>Payments</x:v>
      </x:c>
      <x:c r="B333" s="76" t="n">
        <x:v>12</x:v>
      </x:c>
      <x:c r="C333" s="76" t="str">
        <x:v>Created At</x:v>
      </x:c>
      <x:c r="D333" s="76" t="str">
        <x:v>Physical / DateTime</x:v>
      </x:c>
      <x:c r="E333" s="76" t="str">
        <x:v>OLTP only</x:v>
      </x:c>
      <x:c r="F333" s="76" t="str">
        <x:v>Editable_If FALSE</x:v>
      </x:c>
      <x:c r="G333" s="76" t="str">
        <x:v>Receipt creation time</x:v>
      </x:c>
      <x:c r="H333" s="76" t="str">
        <x:v>Initial: NOW()</x:v>
      </x:c>
    </x:row>
    <x:row r="334" ht="130" customHeight="1">
      <x:c r="A334" s="76" t="str">
        <x:v>Payments</x:v>
      </x:c>
      <x:c r="B334" s="76" t="n">
        <x:v>13</x:v>
      </x:c>
      <x:c r="C334" s="76" t="str">
        <x:v>Processed At</x:v>
      </x:c>
      <x:c r="D334" s="76" t="str">
        <x:v>Physical / DateTime</x:v>
      </x:c>
      <x:c r="E334" s="76" t="str">
        <x:v>OLTP only</x:v>
      </x:c>
      <x:c r="F334" s="76" t="str">
        <x:v>Editable_If FALSE</x:v>
      </x:c>
      <x:c r="G334" s="76" t="str">
        <x:v>Processing completion time</x:v>
      </x:c>
      <x:c r="H334" s="76" t="str">
        <x:v>Initial: blank; processing must set completion time</x:v>
      </x:c>
    </x:row>
    <x:row r="335" ht="130" customHeight="1">
      <x:c r="A335" s="76" t="str">
        <x:v>Payments</x:v>
      </x:c>
      <x:c r="B335" s="76" t="n">
        <x:v>4</x:v>
      </x:c>
      <x:c r="C335" s="76" t="str">
        <x:v>Ref Borrower</x:v>
      </x:c>
      <x:c r="D335" s="76" t="str">
        <x:v>Physical / Ref</x:v>
      </x:c>
      <x:c r="E335" s="76" t="str">
        <x:v>OLTP only</x:v>
      </x:c>
      <x:c r="F335" s="76" t="str">
        <x:v>Native Reference; required; IsPartOf true; locked after creation</x:v>
      </x:c>
      <x:c r="G335" s="76" t="str">
        <x:v>Owning borrower</x:v>
      </x:c>
      <x:c r="H335" s="76" t="str">
        <x:v>Target: Borrowers. Editable_If: NOT(IN([Row ID], Payments[Row ID])). Valid If: OR(IN([Row ID], Payments[Row ID]), COUNT(SELECT(Payments[Row ID], AND([Ref Borrower] = [_THISROW].[Ref Borrower], [Row ID] &lt;&gt; [_THISROW].[Row ID], IN([Status], LIST("Processing", "Error"))))) = 0). Error unchanged. Existing receipt metadata edits retain the original borrower; this does not establish an atomic lock.</x:v>
      </x:c>
    </x:row>
    <x:row r="336" ht="130" customHeight="1">
      <x:c r="A336" s="76" t="str">
        <x:v>Payments</x:v>
      </x:c>
      <x:c r="B336" s="76" t="n">
        <x:v>14</x:v>
      </x:c>
      <x:c r="C336" s="76" t="str">
        <x:v>Ref Target Charge</x:v>
      </x:c>
      <x:c r="D336" s="76" t="str">
        <x:v>Physical / Ref</x:v>
      </x:c>
      <x:c r="E336" s="76" t="str">
        <x:v>OLTP only</x:v>
      </x:c>
      <x:c r="F336" s="76" t="str">
        <x:v>Native Reference; IsPartOf false; locked after creation</x:v>
      </x:c>
      <x:c r="G336" s="76" t="str">
        <x:v>Optional target for single-charge and first-day methods</x:v>
      </x:c>
      <x:c r="H336" s="76" t="str">
        <x:v>Target: Charges. Valid If: SELECT(Charges[Row ID], AND([Ref Loans].[Ref Borrowers] = [_THISROW].[Ref Borrower], OR([Amount Remaining] &gt; 0, AND(IN([_THISROW].[Row ID], Payments[Row ID]), [Row ID] = [_THISROW].[Ref Target Charge])))). Show If and Required If: IN([Allocation Method], LIST("Single Full", "Single Partial", "First-day Auto", "Loan Close")). Editable_If: NOT(IN([Row ID], Payments[Row ID]))</x:v>
      </x:c>
    </x:row>
    <x:row r="337" ht="130" customHeight="1">
      <x:c r="A337" s="76" t="str">
        <x:v>Payments</x:v>
      </x:c>
      <x:c r="B337" s="76" t="n">
        <x:v>15</x:v>
      </x:c>
      <x:c r="C337" s="76" t="str">
        <x:v>Related Payment Allocations</x:v>
      </x:c>
      <x:c r="D337" s="76" t="str">
        <x:v>VC / List</x:v>
      </x:c>
      <x:c r="E337" s="76" t="str">
        <x:v>OLTP only</x:v>
      </x:c>
      <x:c r="F337" s="76" t="str">
        <x:v>Auto-generated; hidden; Search false</x:v>
      </x:c>
      <x:c r="G337" s="76" t="str">
        <x:v>Allocation children</x:v>
      </x:c>
      <x:c r="H337" s="76" t="str">
        <x:v>REF_ROWS("Payment Allocations", "Ref Payment"). Complete ownership/snapshot list; positive display uses Visible Allocations.</x:v>
      </x:c>
    </x:row>
    <x:row r="338" ht="130" customHeight="1">
      <x:c r="A338" s="76" t="str">
        <x:v>Payments</x:v>
      </x:c>
      <x:c r="B338" s="76" t="n">
        <x:v>16</x:v>
      </x:c>
      <x:c r="C338" s="76" t="str">
        <x:v>Related Repayments</x:v>
      </x:c>
      <x:c r="D338" s="76" t="str">
        <x:v>VC / List</x:v>
      </x:c>
      <x:c r="E338" s="76" t="str">
        <x:v>OLTP only</x:v>
      </x:c>
      <x:c r="F338" s="76" t="str">
        <x:v>Auto-generated; shown</x:v>
      </x:c>
      <x:c r="G338" s="76" t="str">
        <x:v>Receipt repayments</x:v>
      </x:c>
      <x:c r="H338" s="76" t="str">
        <x:v>REF_ROWS("Repayments", "Ref Payment")</x:v>
      </x:c>
    </x:row>
    <x:row r="339" ht="130" customHeight="1">
      <x:c r="A339" s="76" t="str">
        <x:v>Payments</x:v>
      </x:c>
      <x:c r="B339" s="76" t="n">
        <x:v>17</x:v>
      </x:c>
      <x:c r="C339" s="76" t="str">
        <x:v>Eligible Charges</x:v>
      </x:c>
      <x:c r="D339" s="76" t="str">
        <x:v>VC / List</x:v>
      </x:c>
      <x:c r="E339" s="76" t="str">
        <x:v>OLTP only</x:v>
      </x:c>
      <x:c r="F339" s="76" t="str">
        <x:v>Hidden; element Ref to Charges</x:v>
      </x:c>
      <x:c r="G339" s="76" t="str">
        <x:v>Eligible charge population</x:v>
      </x:c>
      <x:c r="H339" s="76" t="str">
        <x:v>SELECT(Charges[Row ID], AND([Ref Loans].[Ref Borrowers] = [_THISROW].[Ref Borrower], [Amount Remaining] &gt; 0, IFS(IN([_THISROW].[Allocation Method], LIST("Single Full", "Single Partial", "First-day Auto")), [Row ID] = [_THISROW].[Ref Target Charge], [_THISROW].[Allocation Method] = "Loan Close", [Ref Loans] = [_THISROW].[Ref Target Charge].[Ref Loans], IN([_THISROW].[Allocation Method], LIST("Receive All", "Lump Sum")), [Charge Date] &lt;= [_THISROW].[Payment Date], TRUE, FALSE)))</x:v>
      </x:c>
    </x:row>
    <x:row r="340" ht="130" customHeight="1">
      <x:c r="A340" s="76" t="str">
        <x:v>Payments</x:v>
      </x:c>
      <x:c r="B340" s="76" t="n">
        <x:v>18</x:v>
      </x:c>
      <x:c r="C340" s="76" t="str">
        <x:v>Eligible Outstanding</x:v>
      </x:c>
      <x:c r="D340" s="76" t="str">
        <x:v>VC / Price</x:v>
      </x:c>
      <x:c r="E340" s="76" t="str">
        <x:v>OLTP only</x:v>
      </x:c>
      <x:c r="F340" s="76" t="str">
        <x:v>Hidden; ฿; 0 decimals</x:v>
      </x:c>
      <x:c r="G340" s="76" t="str">
        <x:v>Eligible outstanding amount</x:v>
      </x:c>
      <x:c r="H340" s="76" t="str">
        <x:v>SUM([Eligible Charges][Amount Remaining])</x:v>
      </x:c>
    </x:row>
    <x:row r="341" ht="130" customHeight="1">
      <x:c r="A341" s="76" t="str">
        <x:v>Payments</x:v>
      </x:c>
      <x:c r="B341" s="76" t="n">
        <x:v>19</x:v>
      </x:c>
      <x:c r="C341" s="76" t="str">
        <x:v>Planned Allocation Amount</x:v>
      </x:c>
      <x:c r="D341" s="76" t="str">
        <x:v>VC / Price</x:v>
      </x:c>
      <x:c r="E341" s="76" t="str">
        <x:v>OLTP only</x:v>
      </x:c>
      <x:c r="F341" s="76" t="str">
        <x:v>Shown; ฿; 0 decimals</x:v>
      </x:c>
      <x:c r="G341" s="76" t="str">
        <x:v>Sum of frozen allocation amounts</x:v>
      </x:c>
      <x:c r="H341" s="76" t="str">
        <x:v>SUM([Related Payment Allocations][Allocated Amount])</x:v>
      </x:c>
    </x:row>
    <x:row r="342" ht="130" customHeight="1">
      <x:c r="A342" s="76" t="str">
        <x:v>Payments</x:v>
      </x:c>
      <x:c r="B342" s="76" t="n">
        <x:v>20</x:v>
      </x:c>
      <x:c r="C342" s="76" t="str">
        <x:v>Posted Amount</x:v>
      </x:c>
      <x:c r="D342" s="76" t="str">
        <x:v>VC / Price</x:v>
      </x:c>
      <x:c r="E342" s="76" t="str">
        <x:v>OLTP only</x:v>
      </x:c>
      <x:c r="F342" s="76" t="str">
        <x:v>Shown; ฿; 0 decimals</x:v>
      </x:c>
      <x:c r="G342" s="76" t="str">
        <x:v>Actual repayments linked to receipt</x:v>
      </x:c>
      <x:c r="H342" s="76" t="str">
        <x:v>SUM(SELECT(Repayments[Amount Received], [Ref Payment] = [_THISROW].[Row ID]))</x:v>
      </x:c>
    </x:row>
    <x:row r="343" ht="130" customHeight="1">
      <x:c r="A343" s="76" t="str">
        <x:v>Payments</x:v>
      </x:c>
      <x:c r="B343" s="76" t="n">
        <x:v>21</x:v>
      </x:c>
      <x:c r="C343" s="76" t="str">
        <x:v>Allocation Difference</x:v>
      </x:c>
      <x:c r="D343" s="76" t="str">
        <x:v>VC / Price</x:v>
      </x:c>
      <x:c r="E343" s="76" t="str">
        <x:v>OLTP only</x:v>
      </x:c>
      <x:c r="F343" s="76" t="str">
        <x:v>Shown; ฿; 0 decimals</x:v>
      </x:c>
      <x:c r="G343" s="76" t="str">
        <x:v>Receipt less planned amount</x:v>
      </x:c>
      <x:c r="H343" s="76" t="str">
        <x:v>[Amount Received] - [Planned Allocation Amount]</x:v>
      </x:c>
    </x:row>
    <x:row r="344" ht="130" customHeight="1">
      <x:c r="A344" s="76" t="str">
        <x:v>Payments</x:v>
      </x:c>
      <x:c r="B344" s="76" t="n">
        <x:v>22</x:v>
      </x:c>
      <x:c r="C344" s="76" t="str">
        <x:v>Posting Difference</x:v>
      </x:c>
      <x:c r="D344" s="76" t="str">
        <x:v>VC / Price</x:v>
      </x:c>
      <x:c r="E344" s="76" t="str">
        <x:v>OLTP only</x:v>
      </x:c>
      <x:c r="F344" s="76" t="str">
        <x:v>Shown; ฿; 0 decimals</x:v>
      </x:c>
      <x:c r="G344" s="76" t="str">
        <x:v>Receipt less posted amount</x:v>
      </x:c>
      <x:c r="H344" s="76" t="str">
        <x:v>[Amount Received] - [Posted Amount]</x:v>
      </x:c>
    </x:row>
    <x:row r="345" ht="130" customHeight="1">
      <x:c r="A345" s="76" t="str">
        <x:v>Payments</x:v>
      </x:c>
      <x:c r="B345" s="76" t="n">
        <x:v>23</x:v>
      </x:c>
      <x:c r="C345" s="76" t="str">
        <x:v>Visible Allocations</x:v>
      </x:c>
      <x:c r="D345" s="76" t="str">
        <x:v>VC / List</x:v>
      </x:c>
      <x:c r="E345" s="76" t="str">
        <x:v>OLTP only</x:v>
      </x:c>
      <x:c r="F345" s="76" t="str">
        <x:v>Shown; element Ref to Payment Allocations</x:v>
      </x:c>
      <x:c r="G345" s="76" t="str">
        <x:v>Positive allocation display</x:v>
      </x:c>
      <x:c r="H345" s="76" t="str">
        <x:v>SELECT(Payment Allocations[Row ID], AND([Ref Payment] = [_THISROW].[Row ID], [Allocated Amount] &gt; 0)). Display name: "รายการจัดสรร / Allocations"</x:v>
      </x:c>
    </x:row>
    <x:row r="346" ht="130" customHeight="1">
      <x:c r="A346" s="76" t="str">
        <x:v>Payment Allocations</x:v>
      </x:c>
      <x:c r="B346" s="76" t="n">
        <x:v>1</x:v>
      </x:c>
      <x:c r="C346" s="76" t="str">
        <x:v>_RowNumber</x:v>
      </x:c>
      <x:c r="D346" s="76" t="str">
        <x:v>Physical / Number</x:v>
      </x:c>
      <x:c r="E346" s="76" t="str">
        <x:v>OLTP only</x:v>
      </x:c>
      <x:c r="F346" s="76" t="str">
        <x:v>Hidden; not key</x:v>
      </x:c>
      <x:c r="G346" s="76" t="str">
        <x:v>Source row ordinal</x:v>
      </x:c>
      <x:c r="H346" s="76" t="str">
        <x:v>System source ordinal</x:v>
      </x:c>
    </x:row>
    <x:row r="347" ht="130" customHeight="1">
      <x:c r="A347" s="76" t="str">
        <x:v>Payment Allocations</x:v>
      </x:c>
      <x:c r="B347" s="76" t="n">
        <x:v>2</x:v>
      </x:c>
      <x:c r="C347" s="76" t="str">
        <x:v>Row ID</x:v>
      </x:c>
      <x:c r="D347" s="76" t="str">
        <x:v>Physical / Text</x:v>
      </x:c>
      <x:c r="E347" s="76" t="str">
        <x:v>OLTP only</x:v>
      </x:c>
      <x:c r="F347" s="76" t="str">
        <x:v>Key; required; hidden; not editable</x:v>
      </x:c>
      <x:c r="G347" s="76" t="str">
        <x:v>Stable native database key</x:v>
      </x:c>
      <x:c r="H347" s="76" t="str">
        <x:v>Initial: UNIQUEID("PackedUUID")</x:v>
      </x:c>
    </x:row>
    <x:row r="348" ht="130" customHeight="1">
      <x:c r="A348" s="76" t="str">
        <x:v>Payment Allocations</x:v>
      </x:c>
      <x:c r="B348" s="76" t="n">
        <x:v>3</x:v>
      </x:c>
      <x:c r="C348" s="76" t="str">
        <x:v>Charge Date Snapshot</x:v>
      </x:c>
      <x:c r="D348" s="76" t="str">
        <x:v>Physical / Date</x:v>
      </x:c>
      <x:c r="E348" s="76" t="str">
        <x:v>OLTP only</x:v>
      </x:c>
      <x:c r="F348" s="76" t="str">
        <x:v>Required; Editable_If FALSE</x:v>
      </x:c>
      <x:c r="G348" s="76" t="str">
        <x:v>Frozen charge date</x:v>
      </x:c>
      <x:c r="H348" s="76" t="str">
        <x:v>Initial: blank. Snapshot action must supply actual charge date.</x:v>
      </x:c>
    </x:row>
    <x:row r="349" ht="130" customHeight="1">
      <x:c r="A349" s="76" t="str">
        <x:v>Payment Allocations</x:v>
      </x:c>
      <x:c r="B349" s="76" t="n">
        <x:v>6</x:v>
      </x:c>
      <x:c r="C349" s="76" t="str">
        <x:v>Charge Row Number Snapshot</x:v>
      </x:c>
      <x:c r="D349" s="76" t="str">
        <x:v>Physical / Number</x:v>
      </x:c>
      <x:c r="E349" s="76" t="str">
        <x:v>OLTP only</x:v>
      </x:c>
      <x:c r="F349" s="76" t="str">
        <x:v>Required; Editable_If FALSE</x:v>
      </x:c>
      <x:c r="G349" s="76" t="str">
        <x:v>Frozen tie-break ordinal</x:v>
      </x:c>
      <x:c r="H349" s="76" t="str">
        <x:v>Initial: 0. Snapshot/freeze actions configured; functional tests pending.</x:v>
      </x:c>
    </x:row>
    <x:row r="350" ht="130" customHeight="1">
      <x:c r="A350" s="76" t="str">
        <x:v>Payment Allocations</x:v>
      </x:c>
      <x:c r="B350" s="76" t="n">
        <x:v>7</x:v>
      </x:c>
      <x:c r="C350" s="76" t="str">
        <x:v>Interest Remaining Snapshot</x:v>
      </x:c>
      <x:c r="D350" s="76" t="str">
        <x:v>Physical / Price</x:v>
      </x:c>
      <x:c r="E350" s="76" t="str">
        <x:v>OLTP only</x:v>
      </x:c>
      <x:c r="F350" s="76" t="str">
        <x:v>Required; Editable_If FALSE; ฿; 0 decimals</x:v>
      </x:c>
      <x:c r="G350" s="76" t="str">
        <x:v>Interest before posting</x:v>
      </x:c>
      <x:c r="H350" s="76" t="str">
        <x:v>Initial: 0. Snapshot/freeze actions configured; functional tests pending.</x:v>
      </x:c>
    </x:row>
    <x:row r="351" ht="130" customHeight="1">
      <x:c r="A351" s="76" t="str">
        <x:v>Payment Allocations</x:v>
      </x:c>
      <x:c r="B351" s="76" t="n">
        <x:v>8</x:v>
      </x:c>
      <x:c r="C351" s="76" t="str">
        <x:v>Principal Remaining Snapshot</x:v>
      </x:c>
      <x:c r="D351" s="76" t="str">
        <x:v>Physical / Price</x:v>
      </x:c>
      <x:c r="E351" s="76" t="str">
        <x:v>OLTP only</x:v>
      </x:c>
      <x:c r="F351" s="76" t="str">
        <x:v>Required; Editable_If FALSE; ฿; 0 decimals</x:v>
      </x:c>
      <x:c r="G351" s="76" t="str">
        <x:v>Principal before posting</x:v>
      </x:c>
      <x:c r="H351" s="76" t="str">
        <x:v>Initial: 0. Snapshot/freeze actions configured; functional tests pending.</x:v>
      </x:c>
    </x:row>
    <x:row r="352" ht="130" customHeight="1">
      <x:c r="A352" s="76" t="str">
        <x:v>Payment Allocations</x:v>
      </x:c>
      <x:c r="B352" s="76" t="n">
        <x:v>9</x:v>
      </x:c>
      <x:c r="C352" s="76" t="str">
        <x:v>Amount Remaining Snapshot</x:v>
      </x:c>
      <x:c r="D352" s="76" t="str">
        <x:v>Physical / Price</x:v>
      </x:c>
      <x:c r="E352" s="76" t="str">
        <x:v>OLTP only</x:v>
      </x:c>
      <x:c r="F352" s="76" t="str">
        <x:v>Required; Editable_If FALSE; ฿; 0 decimals</x:v>
      </x:c>
      <x:c r="G352" s="76" t="str">
        <x:v>Total outstanding before posting</x:v>
      </x:c>
      <x:c r="H352" s="76" t="str">
        <x:v>Initial: 0. Snapshot/freeze actions configured; functional tests pending.</x:v>
      </x:c>
    </x:row>
    <x:row r="353" ht="130" customHeight="1">
      <x:c r="A353" s="76" t="str">
        <x:v>Payment Allocations</x:v>
      </x:c>
      <x:c r="B353" s="76" t="n">
        <x:v>10</x:v>
      </x:c>
      <x:c r="C353" s="76" t="str">
        <x:v>Allocation Order</x:v>
      </x:c>
      <x:c r="D353" s="76" t="str">
        <x:v>Physical / Number</x:v>
      </x:c>
      <x:c r="E353" s="76" t="str">
        <x:v>OLTP only</x:v>
      </x:c>
      <x:c r="F353" s="76" t="str">
        <x:v>Required; Editable_If FALSE</x:v>
      </x:c>
      <x:c r="G353" s="76" t="str">
        <x:v>Frozen allocation priority</x:v>
      </x:c>
      <x:c r="H353" s="76" t="str">
        <x:v>Initial: 0. Snapshot/freeze actions configured; functional tests pending.</x:v>
      </x:c>
    </x:row>
    <x:row r="354" ht="130" customHeight="1">
      <x:c r="A354" s="76" t="str">
        <x:v>Payment Allocations</x:v>
      </x:c>
      <x:c r="B354" s="76" t="n">
        <x:v>11</x:v>
      </x:c>
      <x:c r="C354" s="76" t="str">
        <x:v>Allocated Interest</x:v>
      </x:c>
      <x:c r="D354" s="76" t="str">
        <x:v>Physical / Price</x:v>
      </x:c>
      <x:c r="E354" s="76" t="str">
        <x:v>OLTP only</x:v>
      </x:c>
      <x:c r="F354" s="76" t="str">
        <x:v>Required; Editable_If FALSE; ฿; 0 decimals</x:v>
      </x:c>
      <x:c r="G354" s="76" t="str">
        <x:v>Frozen interest allocation</x:v>
      </x:c>
      <x:c r="H354" s="76" t="str">
        <x:v>Initial: 0. Set by Payment - Freeze Allocation. Functional tests pending.</x:v>
      </x:c>
    </x:row>
    <x:row r="355" ht="130" customHeight="1">
      <x:c r="A355" s="76" t="str">
        <x:v>Payment Allocations</x:v>
      </x:c>
      <x:c r="B355" s="76" t="n">
        <x:v>12</x:v>
      </x:c>
      <x:c r="C355" s="76" t="str">
        <x:v>Allocated Principal</x:v>
      </x:c>
      <x:c r="D355" s="76" t="str">
        <x:v>Physical / Price</x:v>
      </x:c>
      <x:c r="E355" s="76" t="str">
        <x:v>OLTP only</x:v>
      </x:c>
      <x:c r="F355" s="76" t="str">
        <x:v>Required; Editable_If FALSE; ฿; 0 decimals</x:v>
      </x:c>
      <x:c r="G355" s="76" t="str">
        <x:v>Frozen principal allocation</x:v>
      </x:c>
      <x:c r="H355" s="76" t="str">
        <x:v>Initial: 0. Set by Payment - Freeze Allocation. Functional tests pending.</x:v>
      </x:c>
    </x:row>
    <x:row r="356" ht="130" customHeight="1">
      <x:c r="A356" s="76" t="str">
        <x:v>Payment Allocations</x:v>
      </x:c>
      <x:c r="B356" s="76" t="n">
        <x:v>13</x:v>
      </x:c>
      <x:c r="C356" s="76" t="str">
        <x:v>Allocated Amount</x:v>
      </x:c>
      <x:c r="D356" s="76" t="str">
        <x:v>Physical / Price</x:v>
      </x:c>
      <x:c r="E356" s="76" t="str">
        <x:v>OLTP only</x:v>
      </x:c>
      <x:c r="F356" s="76" t="str">
        <x:v>Required; Editable_If FALSE; ฿; 0 decimals</x:v>
      </x:c>
      <x:c r="G356" s="76" t="str">
        <x:v>Frozen total allocation</x:v>
      </x:c>
      <x:c r="H356" s="76" t="str">
        <x:v>Initial: 0. Set by Payment - Freeze Allocation. Functional tests pending.</x:v>
      </x:c>
    </x:row>
    <x:row r="357" ht="130" customHeight="1">
      <x:c r="A357" s="76" t="str">
        <x:v>Payment Allocations</x:v>
      </x:c>
      <x:c r="B357" s="76" t="n">
        <x:v>14</x:v>
      </x:c>
      <x:c r="C357" s="76" t="str">
        <x:v>Created At</x:v>
      </x:c>
      <x:c r="D357" s="76" t="str">
        <x:v>Physical / DateTime</x:v>
      </x:c>
      <x:c r="E357" s="76" t="str">
        <x:v>OLTP only</x:v>
      </x:c>
      <x:c r="F357" s="76" t="str">
        <x:v>Editable_If FALSE</x:v>
      </x:c>
      <x:c r="G357" s="76" t="str">
        <x:v>Allocation creation time</x:v>
      </x:c>
      <x:c r="H357" s="76" t="str">
        <x:v>Initial: NOW()</x:v>
      </x:c>
    </x:row>
    <x:row r="358" ht="130" customHeight="1">
      <x:c r="A358" s="76" t="str">
        <x:v>Payment Allocations</x:v>
      </x:c>
      <x:c r="B358" s="76" t="n">
        <x:v>4</x:v>
      </x:c>
      <x:c r="C358" s="76" t="str">
        <x:v>Ref Payment</x:v>
      </x:c>
      <x:c r="D358" s="76" t="str">
        <x:v>Physical / Ref</x:v>
      </x:c>
      <x:c r="E358" s="76" t="str">
        <x:v>OLTP only</x:v>
      </x:c>
      <x:c r="F358" s="76" t="str">
        <x:v>Native Reference; required; Editable_If FALSE; IsPartOf true</x:v>
      </x:c>
      <x:c r="G358" s="76" t="str">
        <x:v>Owning receipt</x:v>
      </x:c>
      <x:c r="H358" s="76" t="str">
        <x:v>Target: Payments in production Money database. Base Editable enabled for processing actions.</x:v>
      </x:c>
    </x:row>
    <x:row r="359" ht="130" customHeight="1">
      <x:c r="A359" s="76" t="str">
        <x:v>Payment Allocations</x:v>
      </x:c>
      <x:c r="B359" s="76" t="n">
        <x:v>5</x:v>
      </x:c>
      <x:c r="C359" s="76" t="str">
        <x:v>Ref Charge</x:v>
      </x:c>
      <x:c r="D359" s="76" t="str">
        <x:v>Physical / Ref</x:v>
      </x:c>
      <x:c r="E359" s="76" t="str">
        <x:v>OLTP only</x:v>
      </x:c>
      <x:c r="F359" s="76" t="str">
        <x:v>Native Reference; required; Editable_If FALSE; IsPartOf false</x:v>
      </x:c>
      <x:c r="G359" s="76" t="str">
        <x:v>Allocated charge</x:v>
      </x:c>
      <x:c r="H359" s="76" t="str">
        <x:v>Target: Charges in production Money database. Base Editable enabled for processing actions.</x:v>
      </x:c>
    </x:row>
    <x:row r="360" ht="130" customHeight="1">
      <x:c r="A360" s="76" t="str">
        <x:v>Payment Allocations</x:v>
      </x:c>
      <x:c r="B360" s="76" t="n">
        <x:v>15</x:v>
      </x:c>
      <x:c r="C360" s="76" t="str">
        <x:v>Related Repayments</x:v>
      </x:c>
      <x:c r="D360" s="76" t="str">
        <x:v>VC / List</x:v>
      </x:c>
      <x:c r="E360" s="76" t="str">
        <x:v>OLTP only</x:v>
      </x:c>
      <x:c r="F360" s="76" t="str">
        <x:v>Auto-generated; shown</x:v>
      </x:c>
      <x:c r="G360" s="76" t="str">
        <x:v>Repayments generated from allocation</x:v>
      </x:c>
      <x:c r="H360" s="76" t="str">
        <x:v>REF_ROWS("Repayments", "Ref Payment Allocation")</x:v>
      </x:c>
    </x:row>
    <x:row r="361" ht="130" customHeight="1">
      <x:c r="A361" s="76" t="str">
        <x:v>Payment Allocations</x:v>
      </x:c>
      <x:c r="B361" s="76" t="n">
        <x:v>16</x:v>
      </x:c>
      <x:c r="C361" s="76" t="str">
        <x:v>Calculated Order</x:v>
      </x:c>
      <x:c r="D361" s="76" t="str">
        <x:v>VC / Number</x:v>
      </x:c>
      <x:c r="E361" s="76" t="str">
        <x:v>OLTP only</x:v>
      </x:c>
      <x:c r="F361" s="76" t="str">
        <x:v>Hidden</x:v>
      </x:c>
      <x:c r="G361" s="76" t="str">
        <x:v>Pre-freeze allocation calculation</x:v>
      </x:c>
      <x:c r="H361" s="76" t="str">
        <x:v>1 + COUNT(SELECT(Payment Allocations[Row ID], AND([Ref Payment] = [_THISROW].[Ref Payment], OR([Charge Date Snapshot] &gt; [_THISROW].[Charge Date Snapshot], AND([Charge Date Snapshot] = [_THISROW].[Charge Date Snapshot], [Charge Row Number Snapshot] &gt; [_THISROW].[Charge Row Number Snapshot])))))</x:v>
      </x:c>
    </x:row>
    <x:row r="362" ht="130" customHeight="1">
      <x:c r="A362" s="76" t="str">
        <x:v>Payment Allocations</x:v>
      </x:c>
      <x:c r="B362" s="76" t="n">
        <x:v>17</x:v>
      </x:c>
      <x:c r="C362" s="76" t="str">
        <x:v>Calculated Amount</x:v>
      </x:c>
      <x:c r="D362" s="76" t="str">
        <x:v>VC / Price</x:v>
      </x:c>
      <x:c r="E362" s="76" t="str">
        <x:v>OLTP only</x:v>
      </x:c>
      <x:c r="F362" s="76" t="str">
        <x:v>Hidden; ฿; 0 decimals</x:v>
      </x:c>
      <x:c r="G362" s="76" t="str">
        <x:v>Pre-freeze allocation calculation</x:v>
      </x:c>
      <x:c r="H362" s="76" t="str">
        <x:v>MAX(LIST(DECIMAL(0), MIN(LIST(DECIMAL([Amount Remaining Snapshot]), DECIMAL([Ref Payment].[Amount Received]) - DECIMAL(SUM(SELECT(Payment Allocations[Amount Remaining Snapshot], AND([Ref Payment] = [_THISROW].[Ref Payment], [Calculated Order] &lt; [_THISROW].[Calculated Order]))))))))</x:v>
      </x:c>
    </x:row>
    <x:row r="363" ht="130" customHeight="1">
      <x:c r="A363" s="76" t="str">
        <x:v>Payment Allocations</x:v>
      </x:c>
      <x:c r="B363" s="76" t="n">
        <x:v>18</x:v>
      </x:c>
      <x:c r="C363" s="76" t="str">
        <x:v>Calculated Interest</x:v>
      </x:c>
      <x:c r="D363" s="76" t="str">
        <x:v>VC / Price</x:v>
      </x:c>
      <x:c r="E363" s="76" t="str">
        <x:v>OLTP only</x:v>
      </x:c>
      <x:c r="F363" s="76" t="str">
        <x:v>Hidden; ฿; 0 decimals</x:v>
      </x:c>
      <x:c r="G363" s="76" t="str">
        <x:v>Pre-freeze allocation calculation</x:v>
      </x:c>
      <x:c r="H363" s="76" t="str">
        <x:v>MIN(LIST(MAX(LIST(DECIMAL(0), DECIMAL([Interest Remaining Snapshot]))), DECIMAL([Calculated Amount])))</x:v>
      </x:c>
    </x:row>
    <x:row r="364" ht="130" customHeight="1">
      <x:c r="A364" s="76" t="str">
        <x:v>Payment Allocations</x:v>
      </x:c>
      <x:c r="B364" s="76" t="n">
        <x:v>19</x:v>
      </x:c>
      <x:c r="C364" s="76" t="str">
        <x:v>Calculated Principal</x:v>
      </x:c>
      <x:c r="D364" s="76" t="str">
        <x:v>VC / Price</x:v>
      </x:c>
      <x:c r="E364" s="76" t="str">
        <x:v>OLTP only</x:v>
      </x:c>
      <x:c r="F364" s="76" t="str">
        <x:v>Hidden; ฿; 0 decimals</x:v>
      </x:c>
      <x:c r="G364" s="76" t="str">
        <x:v>Pre-freeze allocation calculation</x:v>
      </x:c>
      <x:c r="H364" s="76" t="str">
        <x:v>MIN(LIST(MAX(LIST(DECIMAL(0), DECIMAL([Principal Remaining Snapshot]))), DECIMAL([Calculated Amount]) - DECIMAL([Calculated Interest])))</x:v>
      </x:c>
    </x:row>
    <x:row r="365" ht="130" customHeight="1">
      <x:c r="A365" s="76" t="str">
        <x:v>Repayments</x:v>
      </x:c>
      <x:c r="B365" s="76" t="n">
        <x:v>10</x:v>
      </x:c>
      <x:c r="C365" s="76" t="str">
        <x:v>Ref Payment</x:v>
      </x:c>
      <x:c r="D365" s="76" t="str">
        <x:v>Physical / Ref</x:v>
      </x:c>
      <x:c r="E365" s="76" t="str">
        <x:v>OLTP; shared native field; not loaded in OLAP</x:v>
      </x:c>
      <x:c r="F365" s="76" t="str">
        <x:v>Native Reference; optional; Editable_If FALSE; IsPartOf false; production OLTP order 10</x:v>
      </x:c>
      <x:c r="G365" s="76" t="str">
        <x:v>Receipt trace; historical/default rows may be blank</x:v>
      </x:c>
      <x:c r="H365" s="76" t="str">
        <x:v>Target: Payments in production Money database. Added by schema regeneration; existing key retained. Base Editable enabled; expression FALSE permits action writes while preventing form edits.</x:v>
      </x:c>
    </x:row>
    <x:row r="366" ht="130" customHeight="1">
      <x:c r="A366" s="76" t="str">
        <x:v>Repayments</x:v>
      </x:c>
      <x:c r="B366" s="76" t="n">
        <x:v>11</x:v>
      </x:c>
      <x:c r="C366" s="76" t="str">
        <x:v>Ref Payment Allocation</x:v>
      </x:c>
      <x:c r="D366" s="76" t="str">
        <x:v>Physical / Ref</x:v>
      </x:c>
      <x:c r="E366" s="76" t="str">
        <x:v>OLTP; shared native field; not loaded in OLAP</x:v>
      </x:c>
      <x:c r="F366" s="76" t="str">
        <x:v>Native Reference; optional; Editable_If FALSE; IsPartOf false; production OLTP order 11</x:v>
      </x:c>
      <x:c r="G366" s="76" t="str">
        <x:v>Allocation trace; historical/default rows may be blank</x:v>
      </x:c>
      <x:c r="H366" s="76" t="str">
        <x:v>Target: Payment Allocations in production Money database. Added by schema regeneration; existing key retained. Base Editable enabled; expression FALSE permits action writes while preventing form edits.</x:v>
      </x:c>
    </x:row>
    <x:row r="367" ht="130" customHeight="1">
      <x:c r="A367" s="76" t="str">
        <x:v>Borrowers</x:v>
      </x:c>
      <x:c r="B367" s="76" t="n">
        <x:v>33</x:v>
      </x:c>
      <x:c r="C367" s="76" t="str">
        <x:v>Related Payments</x:v>
      </x:c>
      <x:c r="D367" s="76" t="str">
        <x:v>VC / List</x:v>
      </x:c>
      <x:c r="E367" s="76" t="str">
        <x:v>OLTP only</x:v>
      </x:c>
      <x:c r="F367" s="76" t="str">
        <x:v>Shown; searchable; not editable</x:v>
      </x:c>
      <x:c r="G367" s="76" t="str">
        <x:v>Reverse reference to new payment branch</x:v>
      </x:c>
      <x:c r="H367" s="76" t="str">
        <x:v>REF_ROWS("Payments", "Ref Borrower")</x:v>
      </x:c>
    </x:row>
    <x:row r="368" ht="130" customHeight="1">
      <x:c r="A368" s="76" t="str">
        <x:v>Charges</x:v>
      </x:c>
      <x:c r="B368" s="76" t="n">
        <x:v>24</x:v>
      </x:c>
      <x:c r="C368" s="76" t="str">
        <x:v>Related Payment Allocations</x:v>
      </x:c>
      <x:c r="D368" s="76" t="str">
        <x:v>VC / List</x:v>
      </x:c>
      <x:c r="E368" s="76" t="str">
        <x:v>OLTP only</x:v>
      </x:c>
      <x:c r="F368" s="76" t="str">
        <x:v>Shown; searchable; not editable</x:v>
      </x:c>
      <x:c r="G368" s="76" t="str">
        <x:v>Reverse reference to new payment branch</x:v>
      </x:c>
      <x:c r="H368" s="76" t="str">
        <x:v>REF_ROWS("Payment Allocations", "Ref Charge")</x:v>
      </x:c>
    </x:row>
    <x:row r="369" ht="130" customHeight="1">
      <x:c r="A369" s="76" t="str">
        <x:v>Charges</x:v>
      </x:c>
      <x:c r="B369" s="76" t="n">
        <x:v>25</x:v>
      </x:c>
      <x:c r="C369" s="76" t="str">
        <x:v>Related Payments</x:v>
      </x:c>
      <x:c r="D369" s="76" t="str">
        <x:v>VC / List</x:v>
      </x:c>
      <x:c r="E369" s="76" t="str">
        <x:v>OLTP only</x:v>
      </x:c>
      <x:c r="F369" s="76" t="str">
        <x:v>Shown; searchable; not editable</x:v>
      </x:c>
      <x:c r="G369" s="76" t="str">
        <x:v>Reverse reference to new payment branch</x:v>
      </x:c>
      <x:c r="H369" s="76" t="str">
        <x:v>REF_ROWS("Payments", "Ref Target Charge")</x:v>
      </x:c>
    </x:row>
  </x:sheetData>
  <x:mergeCells>
    <x:mergeCell ref="A2:H2"/>
    <x:mergeCell ref="A1:H1"/>
  </x:mergeCells>
  <x:conditionalFormatting sqref="E5:E300">
    <x:cfRule type="containsText" dxfId="0" priority="1" operator="containsText" text="OLAP only"/>
    <x:cfRule type="containsText" dxfId="1" priority="2" operator="containsText" text="OLTP only"/>
  </x:conditionalFormatting>
  <x:pageMargins left="0.7" right="0.7" top="0.75" bottom="0.75" header="0.3" footer="0.3"/>
  <x:tableParts count="1">
    <x:tablePart xmlns:r="http://schemas.openxmlformats.org/officeDocument/2006/relationships" r:id="R815e3a58dbb841f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28" customWidth="1"/>
    <x:col min="3" max="3" width="28" customWidth="1"/>
    <x:col min="4" max="4" width="42" customWidth="1"/>
    <x:col min="5" max="5" width="40" customWidth="1"/>
  </x:cols>
  <x:sheetData>
    <x:row r="1" ht="30" customHeight="1">
      <x:c r="A1" s="3" t="inlineStr">
        <x:is>
          <x:t xml:space="preserve">Relationships</x:t>
        </x:is>
      </x:c>
    </x:row>
    <x:row r="2" ht="42" customHeight="1">
      <x:c r="A2" s="7" t="str">
        <x:v>Six payment References added in production on 6 September 2026. Borrower -&gt; Loan -&gt; Charge -&gt; Repayment ownership retained; Borrower -&gt; Payment -&gt; Allocation branch added. New IsPartOf settings are OLTP-specific.</x:v>
      </x:c>
    </x:row>
    <x:row r="4" ht="30" customHeight="1">
      <x:c r="A4" s="50" t="inlineStr">
        <x:is>
          <x:t xml:space="preserve">Child table</x:t>
        </x:is>
      </x:c>
      <x:c r="B4" s="51" t="inlineStr">
        <x:is>
          <x:t xml:space="preserve">Ref column</x:t>
        </x:is>
      </x:c>
      <x:c r="C4" s="51" t="inlineStr">
        <x:is>
          <x:t xml:space="preserve">Parent table</x:t>
        </x:is>
      </x:c>
      <x:c r="D4" s="51" t="inlineStr">
        <x:is>
          <x:t xml:space="preserve">Cardinality</x:t>
        </x:is>
      </x:c>
      <x:c r="E4" s="52" t="inlineStr">
        <x:is>
          <x:t xml:space="preserve">Is a part of?</x:t>
        </x:is>
      </x:c>
    </x:row>
    <x:row r="5" ht="15" customHeight="1">
      <x:c r="A5" s="56" t="inlineStr">
        <x:is>
          <x:t xml:space="preserve">Calendar</x:t>
        </x:is>
      </x:c>
      <x:c r="B5" s="56" t="inlineStr">
        <x:is>
          <x:t xml:space="preserve">Assessment Borrower</x:t>
        </x:is>
      </x:c>
      <x:c r="C5" s="56" t="inlineStr">
        <x:is>
          <x:t xml:space="preserve">Borrowers</x:t>
        </x:is>
      </x:c>
      <x:c r="D5" s="58" t="inlineStr">
        <x:is>
          <x:t xml:space="preserve">Borrowers 1 -&gt; many Calendar</x:t>
        </x:is>
      </x:c>
      <x:c r="E5" s="58" t="inlineStr">
        <x:is>
          <x:t xml:space="preserve">Independent child lifecycle</x:t>
        </x:is>
      </x:c>
    </x:row>
    <x:row r="6" ht="15" customHeight="1">
      <x:c r="A6" s="57" t="inlineStr">
        <x:is>
          <x:t xml:space="preserve">Cash Pool Contributions</x:t>
        </x:is>
      </x:c>
      <x:c r="B6" s="57" t="inlineStr">
        <x:is>
          <x:t xml:space="preserve">Ref Partner</x:t>
        </x:is>
      </x:c>
      <x:c r="C6" s="57" t="inlineStr">
        <x:is>
          <x:t xml:space="preserve">Partners</x:t>
        </x:is>
      </x:c>
      <x:c r="D6" s="59" t="inlineStr">
        <x:is>
          <x:t xml:space="preserve">Partners 1 -&gt; many Cash Pool Contributions</x:t>
        </x:is>
      </x:c>
      <x:c r="E6" s="59" t="inlineStr">
        <x:is>
          <x:t xml:space="preserve">Independent child lifecycle</x:t>
        </x:is>
      </x:c>
    </x:row>
    <x:row r="7" ht="15" customHeight="1">
      <x:c r="A7" s="57" t="inlineStr">
        <x:is>
          <x:t xml:space="preserve">Charges</x:t>
        </x:is>
      </x:c>
      <x:c r="B7" s="57" t="inlineStr">
        <x:is>
          <x:t xml:space="preserve">Ref Loans</x:t>
        </x:is>
      </x:c>
      <x:c r="C7" s="57" t="inlineStr">
        <x:is>
          <x:t xml:space="preserve">Loans</x:t>
        </x:is>
      </x:c>
      <x:c r="D7" s="59" t="inlineStr">
        <x:is>
          <x:t xml:space="preserve">Loans 1 -&gt; many Charges</x:t>
        </x:is>
      </x:c>
      <x:c r="E7" s="59" t="str">
        <x:v>Part of parent; Ref required in OLTP</x:v>
      </x:c>
    </x:row>
    <x:row r="8" ht="15" customHeight="1">
      <x:c r="A8" s="57" t="inlineStr">
        <x:is>
          <x:t xml:space="preserve">Loan Assessment</x:t>
        </x:is>
      </x:c>
      <x:c r="B8" s="57" t="inlineStr">
        <x:is>
          <x:t xml:space="preserve">Ref Borrower</x:t>
        </x:is>
      </x:c>
      <x:c r="C8" s="57" t="inlineStr">
        <x:is>
          <x:t xml:space="preserve">Borrowers</x:t>
        </x:is>
      </x:c>
      <x:c r="D8" s="59" t="inlineStr">
        <x:is>
          <x:t xml:space="preserve">Borrowers 1 -&gt; many Loan Assessment</x:t>
        </x:is>
      </x:c>
      <x:c r="E8" s="59" t="inlineStr">
        <x:is>
          <x:t xml:space="preserve">Independent child lifecycle</x:t>
        </x:is>
      </x:c>
    </x:row>
    <x:row r="9" ht="15" customHeight="1">
      <x:c r="A9" s="57" t="inlineStr">
        <x:is>
          <x:t xml:space="preserve">Loans</x:t>
        </x:is>
      </x:c>
      <x:c r="B9" s="57" t="inlineStr">
        <x:is>
          <x:t xml:space="preserve">Ref Borrowers</x:t>
        </x:is>
      </x:c>
      <x:c r="C9" s="57" t="inlineStr">
        <x:is>
          <x:t xml:space="preserve">Borrowers</x:t>
        </x:is>
      </x:c>
      <x:c r="D9" s="59" t="inlineStr">
        <x:is>
          <x:t xml:space="preserve">Borrowers 1 -&gt; many Loans</x:t>
        </x:is>
      </x:c>
      <x:c r="E9" s="59" t="inlineStr">
        <x:is>
          <x:t xml:space="preserve">Child rows are marked part-of parent</x:t>
        </x:is>
      </x:c>
    </x:row>
    <x:row r="10" ht="15" customHeight="1">
      <x:c r="A10" s="57" t="inlineStr">
        <x:is>
          <x:t xml:space="preserve">Repayments</x:t>
        </x:is>
      </x:c>
      <x:c r="B10" s="57" t="inlineStr">
        <x:is>
          <x:t xml:space="preserve">Ref Loans</x:t>
        </x:is>
      </x:c>
      <x:c r="C10" s="57" t="inlineStr">
        <x:is>
          <x:t xml:space="preserve">Loans</x:t>
        </x:is>
      </x:c>
      <x:c r="D10" s="59" t="inlineStr">
        <x:is>
          <x:t xml:space="preserve">Loans 1 -&gt; many Repayments</x:t>
        </x:is>
      </x:c>
      <x:c r="E10" s="59" t="inlineStr">
        <x:is>
          <x:t xml:space="preserve">Independent child lifecycle</x:t>
        </x:is>
      </x:c>
    </x:row>
    <x:row r="11" ht="15" customHeight="1">
      <x:c r="A11" s="57" t="inlineStr">
        <x:is>
          <x:t xml:space="preserve">Repayments</x:t>
        </x:is>
      </x:c>
      <x:c r="B11" s="57" t="inlineStr">
        <x:is>
          <x:t xml:space="preserve">Ref Charges</x:t>
        </x:is>
      </x:c>
      <x:c r="C11" s="57" t="inlineStr">
        <x:is>
          <x:t xml:space="preserve">Charges</x:t>
        </x:is>
      </x:c>
      <x:c r="D11" s="59" t="inlineStr">
        <x:is>
          <x:t xml:space="preserve">Charges 1 -&gt; many Repayments</x:t>
        </x:is>
      </x:c>
      <x:c r="E11" s="59" t="inlineStr">
        <x:is>
          <x:t xml:space="preserve">Child rows are marked part-of parent</x:t>
        </x:is>
      </x:c>
    </x:row>
    <x:row r="12" ht="15" customHeight="1">
      <x:c r="A12" s="57" t="inlineStr">
        <x:is>
          <x:t xml:space="preserve">Settlements</x:t>
        </x:is>
      </x:c>
      <x:c r="B12" s="57" t="inlineStr">
        <x:is>
          <x:t xml:space="preserve">Ref Partner</x:t>
        </x:is>
      </x:c>
      <x:c r="C12" s="57" t="inlineStr">
        <x:is>
          <x:t xml:space="preserve">Partners</x:t>
        </x:is>
      </x:c>
      <x:c r="D12" s="59" t="inlineStr">
        <x:is>
          <x:t xml:space="preserve">Partners 1 -&gt; many Settlements</x:t>
        </x:is>
      </x:c>
      <x:c r="E12" s="59" t="inlineStr">
        <x:is>
          <x:t xml:space="preserve">Independent child lifecycle</x:t>
        </x:is>
      </x:c>
    </x:row>
    <x:row r="13" ht="58" customHeight="1">
      <x:c r="A13" s="73" t="str">
        <x:v>Payments</x:v>
      </x:c>
      <x:c r="B13" s="73" t="str">
        <x:v>Ref Borrower</x:v>
      </x:c>
      <x:c r="C13" s="73" t="str">
        <x:v>Borrowers</x:v>
      </x:c>
      <x:c r="D13" s="73" t="str">
        <x:v>Borrowers 1 -&gt; many Payments</x:v>
      </x:c>
      <x:c r="E13" s="73" t="str">
        <x:v>OLTP part of parent; required; native Reference</x:v>
      </x:c>
    </x:row>
    <x:row r="14" ht="58" customHeight="1">
      <x:c r="A14" s="73" t="str">
        <x:v>Payments</x:v>
      </x:c>
      <x:c r="B14" s="73" t="str">
        <x:v>Ref Target Charge</x:v>
      </x:c>
      <x:c r="C14" s="73" t="str">
        <x:v>Charges</x:v>
      </x:c>
      <x:c r="D14" s="73" t="str">
        <x:v>Charges 1 -&gt; many Payments</x:v>
      </x:c>
      <x:c r="E14" s="73" t="str">
        <x:v>OLTP independent; conditionally required; native Reference</x:v>
      </x:c>
    </x:row>
    <x:row r="15" ht="58" customHeight="1">
      <x:c r="A15" s="73" t="str">
        <x:v>Payment Allocations</x:v>
      </x:c>
      <x:c r="B15" s="73" t="str">
        <x:v>Ref Payment</x:v>
      </x:c>
      <x:c r="C15" s="73" t="str">
        <x:v>Payments</x:v>
      </x:c>
      <x:c r="D15" s="73" t="str">
        <x:v>Payments 1 -&gt; many Payment Allocations</x:v>
      </x:c>
      <x:c r="E15" s="73" t="str">
        <x:v>OLTP part of parent; required; native Reference</x:v>
      </x:c>
    </x:row>
    <x:row r="16" ht="58" customHeight="1">
      <x:c r="A16" s="73" t="str">
        <x:v>Payment Allocations</x:v>
      </x:c>
      <x:c r="B16" s="73" t="str">
        <x:v>Ref Charge</x:v>
      </x:c>
      <x:c r="C16" s="73" t="str">
        <x:v>Charges</x:v>
      </x:c>
      <x:c r="D16" s="73" t="str">
        <x:v>Charges 1 -&gt; many Payment Allocations</x:v>
      </x:c>
      <x:c r="E16" s="73" t="str">
        <x:v>OLTP independent; required; native Reference</x:v>
      </x:c>
    </x:row>
    <x:row r="17" ht="58" customHeight="1">
      <x:c r="A17" s="73" t="str">
        <x:v>Repayments</x:v>
      </x:c>
      <x:c r="B17" s="73" t="str">
        <x:v>Ref Payment</x:v>
      </x:c>
      <x:c r="C17" s="73" t="str">
        <x:v>Payments</x:v>
      </x:c>
      <x:c r="D17" s="73" t="str">
        <x:v>Payments 1 -&gt; many Repayments</x:v>
      </x:c>
      <x:c r="E17" s="73" t="str">
        <x:v>OLTP independent; optional historical/default trace; native Reference; not loaded in OLAP</x:v>
      </x:c>
    </x:row>
    <x:row r="18" ht="58" customHeight="1">
      <x:c r="A18" s="73" t="str">
        <x:v>Repayments</x:v>
      </x:c>
      <x:c r="B18" s="73" t="str">
        <x:v>Ref Payment Allocation</x:v>
      </x:c>
      <x:c r="C18" s="73" t="str">
        <x:v>Payment Allocations</x:v>
      </x:c>
      <x:c r="D18" s="73" t="str">
        <x:v>Payment Allocations 1 -&gt; many Repayments</x:v>
      </x:c>
      <x:c r="E18" s="73" t="str">
        <x:v>OLTP independent; optional historical/default trace; native Reference; not loaded in OLAP</x:v>
      </x:c>
    </x:row>
  </x:sheetData>
  <x:mergeCells>
    <x:mergeCell ref="A2:E2"/>
    <x:mergeCell ref="A1:E1"/>
  </x:mergeCells>
  <x:pageMargins left="0.7" right="0.7" top="0.75" bottom="0.75" header="0.3" footer="0.3"/>
  <x:tableParts count="1">
    <x:tablePart xmlns:r="http://schemas.openxmlformats.org/officeDocument/2006/relationships" r:id="Rfc2bb4dffb9d4e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4" customWidth="1"/>
    <x:col min="3" max="3" width="24" customWidth="1"/>
    <x:col min="4" max="4" width="62" customWidth="1"/>
    <x:col min="5" max="5" width="22" customWidth="1"/>
    <x:col min="6" max="6" width="14" customWidth="1"/>
    <x:col min="7" max="7" width="58" customWidth="1"/>
    <x:col min="8" max="8" width="28" customWidth="1"/>
  </x:cols>
  <x:sheetData>
    <x:row r="1" ht="30" customHeight="1">
      <x:c r="A1" s="3" t="str">
        <x:v>Slices</x:v>
      </x:c>
      <x:c r="B1"/>
      <x:c r="C1"/>
      <x:c r="D1"/>
      <x:c r="E1"/>
      <x:c r="F1"/>
      <x:c r="G1"/>
      <x:c r="H1"/>
    </x:row>
    <x:row r="2" ht="30" customHeight="1">
      <x:c r="A2" s="7" t="str">
        <x:v>OLTP Visible Borrowers33 and Todays Collection Board12 fields reconciled at production cutover. Existing OLAP slices retained without schema regeneration.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 ht="30" customHeight="1">
      <x:c r="A4" s="50" t="str">
        <x:v>App</x:v>
      </x:c>
      <x:c r="B4" s="51" t="str">
        <x:v>Slice</x:v>
      </x:c>
      <x:c r="C4" s="51" t="str">
        <x:v>Source</x:v>
      </x:c>
      <x:c r="D4" s="51" t="str">
        <x:v>Row Filter</x:v>
      </x:c>
      <x:c r="E4" s="51" t="str">
        <x:v>Update Mode</x:v>
      </x:c>
      <x:c r="F4" s="51" t="str">
        <x:v>Column Count</x:v>
      </x:c>
      <x:c r="G4" s="51" t="str">
        <x:v>Purpose</x:v>
      </x:c>
      <x:c r="H4" s="52" t="str">
        <x:v>Comment</x:v>
      </x:c>
    </x:row>
    <x:row r="5" ht="55" customHeight="1">
      <x:c r="A5" s="83" t="str">
        <x:v>OLTP</x:v>
      </x:c>
      <x:c r="B5" s="83" t="str">
        <x:v>Todays Collection Board</x:v>
      </x:c>
      <x:c r="C5" s="83" t="str">
        <x:v>Borrowers</x:v>
      </x:c>
      <x:c r="D5" s="83" t="str">
        <x:v>ISNOTBLANK([Daily Collection Status])</x:v>
      </x:c>
      <x:c r="E5" s="83" t="str">
        <x:v>Read-only</x:v>
      </x:c>
      <x:c r="F5" s="83" t="n">
        <x:v>12</x:v>
      </x:c>
      <x:c r="G5" s="83" t="str">
        <x:v>Read-only borrower workboard restricted to borrowers with a current collection status.</x:v>
      </x:c>
      <x:c r="H5" s="83" t="str">
        <x:v>Production 3.000002; exact ordered membership reconciled to accepted clone. Auto-assigned actions.</x:v>
      </x:c>
    </x:row>
    <x:row r="6" ht="55" customHeight="1">
      <x:c r="A6" s="83" t="str">
        <x:v>OLTP</x:v>
      </x:c>
      <x:c r="B6" s="83" t="str">
        <x:v>Visible Borrowers</x:v>
      </x:c>
      <x:c r="C6" s="83" t="str">
        <x:v>Borrowers</x:v>
      </x:c>
      <x:c r="D6" s="83" t="str">
        <x:v>NOT([Hidden Flag])</x:v>
      </x:c>
      <x:c r="E6" s="83" t="str">
        <x:v>Adds, Updates, Deletes</x:v>
      </x:c>
      <x:c r="F6" s="83" t="n">
        <x:v>33</x:v>
      </x:c>
      <x:c r="G6" s="83" t="str">
        <x:v>Editable borrower-list slice excluding hidden rows; includes the principal-coverage metric.</x:v>
      </x:c>
      <x:c r="H6" s="83" t="str">
        <x:v>Production 3.000002; exact ordered membership reconciled to accepted clone. Auto-assigned actions.</x:v>
      </x:c>
    </x:row>
    <x:row r="7" ht="15" customHeight="1">
      <x:c r="A7" s="57" t="str">
        <x:v>OLAP</x:v>
      </x:c>
      <x:c r="B7" s="59" t="str">
        <x:v>Borrowers with Outstanding Loans</x:v>
      </x:c>
      <x:c r="C7" s="57" t="str">
        <x:v>Borrowers</x:v>
      </x:c>
      <x:c r="D7" s="59" t="str">
        <x:v>[Total Outstanding Principal] &gt; 0</x:v>
      </x:c>
      <x:c r="E7" s="57" t="str">
        <x:v>Read-only</x:v>
      </x:c>
      <x:c r="F7" s="57" t="n">
        <x:v>56</x:v>
      </x:c>
      <x:c r="G7" s="59" t="str">
        <x:v>Read-only OLAP subset of borrowers whose outstanding principal is greater than zero.</x:v>
      </x:c>
      <x:c r="H7" s="59"/>
    </x:row>
    <x:row r="8" ht="15" customHeight="1">
      <x:c r="A8" s="57" t="str">
        <x:v>OLAP</x:v>
      </x:c>
      <x:c r="B8" s="59" t="str">
        <x:v>Profit Contribution 30D</x:v>
      </x:c>
      <x:c r="C8" s="57" t="str">
        <x:v>Borrowers</x:v>
      </x:c>
      <x:c r="D8" s="59" t="str">
        <x:v>[Profit Last 30 Days] &gt; 0</x:v>
      </x:c>
      <x:c r="E8" s="57" t="str">
        <x:v>Read-only</x:v>
      </x:c>
      <x:c r="F8" s="57" t="n">
        <x:v>56</x:v>
      </x:c>
      <x:c r="G8" s="59" t="str">
        <x:v>Read-only OLAP subset of borrowers contributing positive interest profit in the last 30 days.</x:v>
      </x:c>
      <x:c r="H8" s="59"/>
    </x:row>
    <x:row r="9" ht="15" customHeight="1">
      <x:c r="A9" s="57" t="str">
        <x:v>OLAP</x:v>
      </x:c>
      <x:c r="B9" s="59" t="str">
        <x:v>Reporting Borrowers</x:v>
      </x:c>
      <x:c r="C9" s="57" t="str">
        <x:v>Borrowers</x:v>
      </x:c>
      <x:c r="D9" s="59" t="str">
        <x:v>TRUE</x:v>
      </x:c>
      <x:c r="E9" s="57" t="str">
        <x:v>Read-only</x:v>
      </x:c>
      <x:c r="F9" s="57" t="n">
        <x:v>51</x:v>
      </x:c>
      <x:c r="G9" s="59" t="str">
        <x:v>Curated, read-only borrower feed for downstream reporting and dashboard reconciliation, including the borrower value/stability matrix fields.</x:v>
      </x:c>
      <x:c r="H9" s="59"/>
    </x:row>
    <x:row r="10" ht="15" customHeight="1">
      <x:c r="A10" s="57" t="str">
        <x:v>OLAP</x:v>
      </x:c>
      <x:c r="B10" s="59" t="str">
        <x:v>Reporting Charges</x:v>
      </x:c>
      <x:c r="C10" s="57" t="str">
        <x:v>Charges</x:v>
      </x:c>
      <x:c r="D10" s="59" t="str">
        <x:v>TRUE</x:v>
      </x:c>
      <x:c r="E10" s="57" t="str">
        <x:v>Read-only</x:v>
      </x:c>
      <x:c r="F10" s="57" t="n">
        <x:v>20</x:v>
      </x:c>
      <x:c r="G10" s="59" t="str">
        <x:v>Curated, read-only charge feed with due, paid, remaining, lateness, and borrower fields.</x:v>
      </x:c>
      <x:c r="H10" s="59"/>
    </x:row>
    <x:row r="11" ht="15" customHeight="1">
      <x:c r="A11" s="57" t="str">
        <x:v>OLAP</x:v>
      </x:c>
      <x:c r="B11" s="59" t="str">
        <x:v>Daily Analytics 7 Days</x:v>
      </x:c>
      <x:c r="C11" s="57" t="str">
        <x:v>Daily Analytics</x:v>
      </x:c>
      <x:c r="D11" s="59" t="str">
        <x:v>[Snapshot Date] &gt;= NOW() - 7</x:v>
      </x:c>
      <x:c r="E11" s="57" t="str">
        <x:v>Read-only</x:v>
      </x:c>
      <x:c r="F11" s="57" t="n">
        <x:v>23</x:v>
      </x:c>
      <x:c r="G11" s="59" t="str">
        <x:v>Rolling seven-day daily-analytics window for recent trend analysis.</x:v>
      </x:c>
      <x:c r="H11" s="59"/>
    </x:row>
    <x:row r="12" ht="15" customHeight="1">
      <x:c r="A12" s="57" t="str">
        <x:v>OLAP</x:v>
      </x:c>
      <x:c r="B12" s="59" t="str">
        <x:v>Daily Analytics 30 Days</x:v>
      </x:c>
      <x:c r="C12" s="57" t="str">
        <x:v>Daily Analytics</x:v>
      </x:c>
      <x:c r="D12" s="59" t="str">
        <x:v>[Snapshot Date] &gt;= NOW() - 30</x:v>
      </x:c>
      <x:c r="E12" s="57" t="str">
        <x:v>Read-only</x:v>
      </x:c>
      <x:c r="F12" s="57" t="n">
        <x:v>23</x:v>
      </x:c>
      <x:c r="G12" s="59" t="str">
        <x:v>Rolling 30-day daily-analytics window for monthly and near-term trend analysis.</x:v>
      </x:c>
      <x:c r="H12" s="59"/>
    </x:row>
    <x:row r="13" ht="15" customHeight="1">
      <x:c r="A13" s="57" t="str">
        <x:v>OLAP</x:v>
      </x:c>
      <x:c r="B13" s="59" t="str">
        <x:v>Daily Analytics 90 Days</x:v>
      </x:c>
      <x:c r="C13" s="57" t="str">
        <x:v>Daily Analytics</x:v>
      </x:c>
      <x:c r="D13" s="59" t="str">
        <x:v>[Snapshot Date] &gt;= NOW() - 90</x:v>
      </x:c>
      <x:c r="E13" s="57" t="str">
        <x:v>Read-only</x:v>
      </x:c>
      <x:c r="F13" s="57" t="n">
        <x:v>23</x:v>
      </x:c>
      <x:c r="G13" s="59" t="str">
        <x:v>Rolling 90-day daily-analytics window for medium-term portfolio trends.</x:v>
      </x:c>
      <x:c r="H13" s="59"/>
    </x:row>
    <x:row r="14" ht="15" customHeight="1">
      <x:c r="A14" s="57" t="str">
        <x:v>OLAP</x:v>
      </x:c>
      <x:c r="B14" s="59" t="str">
        <x:v>Reporting Daily Analytics</x:v>
      </x:c>
      <x:c r="C14" s="57" t="str">
        <x:v>Daily Analytics</x:v>
      </x:c>
      <x:c r="D14" s="59" t="str">
        <x:v>TRUE</x:v>
      </x:c>
      <x:c r="E14" s="57" t="str">
        <x:v>Read-only</x:v>
      </x:c>
      <x:c r="F14" s="57" t="n">
        <x:v>13</x:v>
      </x:c>
      <x:c r="G14" s="59" t="str">
        <x:v>Curated, read-only daily snapshot feed for governed downstream reporting.</x:v>
      </x:c>
      <x:c r="H14" s="59"/>
    </x:row>
    <x:row r="15" ht="15" customHeight="1">
      <x:c r="A15" s="57" t="str">
        <x:v>OLAP</x:v>
      </x:c>
      <x:c r="B15" s="59" t="str">
        <x:v>Reporting Loans</x:v>
      </x:c>
      <x:c r="C15" s="57" t="str">
        <x:v>Loans</x:v>
      </x:c>
      <x:c r="D15" s="59" t="str">
        <x:v>TRUE</x:v>
      </x:c>
      <x:c r="E15" s="57" t="str">
        <x:v>Read-only</x:v>
      </x:c>
      <x:c r="F15" s="57" t="n">
        <x:v>32</x:v>
      </x:c>
      <x:c r="G15" s="59" t="str">
        <x:v>Curated, read-only loan feed containing contract, balance, daily-installment amount/expected interest, rate, age, and default fields.</x:v>
      </x:c>
      <x:c r="H15" s="59"/>
    </x:row>
    <x:row r="16" ht="15" customHeight="1">
      <x:c r="A16" s="57" t="str">
        <x:v>OLAP</x:v>
      </x:c>
      <x:c r="B16" s="59" t="str">
        <x:v>Reporting Repayments</x:v>
      </x:c>
      <x:c r="C16" s="57" t="str">
        <x:v>Repayments</x:v>
      </x:c>
      <x:c r="D16" s="59" t="str">
        <x:v>TRUE</x:v>
      </x:c>
      <x:c r="E16" s="57" t="str">
        <x:v>Read-only</x:v>
      </x:c>
      <x:c r="F16" s="57" t="n">
        <x:v>8</x:v>
      </x:c>
      <x:c r="G16" s="59" t="str">
        <x:v>Curated, read-only posted-payment feed with loan and charge references.</x:v>
      </x:c>
      <x:c r="H16" s="59"/>
    </x:row>
    <x:row r="17" ht="15" customHeight="1">
      <x:c r="A17" s="57" t="str">
        <x:v>OLAP</x:v>
      </x:c>
      <x:c r="B17" s="59" t="str">
        <x:v>Reporting Statistics</x:v>
      </x:c>
      <x:c r="C17" s="57" t="str">
        <x:v>Statistics</x:v>
      </x:c>
      <x:c r="D17" s="59" t="str">
        <x:v>TRUE</x:v>
      </x:c>
      <x:c r="E17" s="57" t="str">
        <x:v>Read-only</x:v>
      </x:c>
      <x:c r="F17" s="57" t="n">
        <x:v>17</x:v>
      </x:c>
      <x:c r="G17" s="59" t="str">
        <x:v>Curated, read-only KPI feed for governed dashboard totals.</x:v>
      </x:c>
      <x:c r="H17" s="59"/>
    </x:row>
    <x:row r="18">
      <x:c r="A18" s="72" t="str">
        <x:v>OLAP</x:v>
      </x:c>
      <x:c r="B18" s="72" t="str">
        <x:v>Todays Collection Board</x:v>
      </x:c>
      <x:c r="C18" s="72" t="str">
        <x:v>Borrowers</x:v>
      </x:c>
      <x:c r="D18" s="72" t="str">
        <x:v>ISNOTBLANK([Daily Collection Status])</x:v>
      </x:c>
      <x:c r="E18" s="72" t="str">
        <x:v>Read-only</x:v>
      </x:c>
      <x:c r="F18" s="72" t="n">
        <x:v>11</x:v>
      </x:c>
      <x:c r="G18" s="72" t="str">
        <x:v>Read-only daily collection export and message-review slice using OLAP-native current-status, amount, charge-list, hidden-flag, and overdue fields.</x:v>
      </x:c>
      <x:c r="H18" s="72" t="str">
        <x:v>OLAP read-only mirror of the OLTP Todays Collection Board for daily collection export and message-drafting review. The exact column set is adapted to available OLAP fields.</x:v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feba66efae1b4d3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8" customWidth="1"/>
    <x:col min="3" max="3" width="15" customWidth="1"/>
    <x:col min="4" max="4" width="42" customWidth="1"/>
  </x:cols>
  <x:sheetData>
    <x:row r="1" ht="30" customHeight="1">
      <x:c r="A1" s="3" t="str">
        <x:v>Slice Columns</x:v>
      </x:c>
      <x:c r="B1"/>
      <x:c r="C1"/>
      <x:c r="D1"/>
    </x:row>
    <x:row r="2" ht="30" customHeight="1">
      <x:c r="A2" s="7" t="str">
        <x:v>Exact ordered production OLTP membership: 45 rows across two slices. Existing OLAP membership retained.</x:v>
      </x:c>
      <x:c r="B2"/>
      <x:c r="C2"/>
      <x:c r="D2"/>
    </x:row>
    <x:row r="3">
      <x:c r="A3"/>
      <x:c r="B3"/>
      <x:c r="C3"/>
      <x:c r="D3"/>
    </x:row>
    <x:row r="4" ht="30" customHeight="1">
      <x:c r="A4" s="50" t="str">
        <x:v>App</x:v>
      </x:c>
      <x:c r="B4" s="51" t="str">
        <x:v>Slice</x:v>
      </x:c>
      <x:c r="C4" s="51" t="str">
        <x:v>Column Order</x:v>
      </x:c>
      <x:c r="D4" s="52" t="str">
        <x:v>Column</x:v>
      </x:c>
    </x:row>
    <x:row r="5" ht="15" customHeight="1">
      <x:c r="A5" s="56" t="str">
        <x:v>OLTP</x:v>
      </x:c>
      <x:c r="B5" s="58" t="str">
        <x:v>Visible Borrowers</x:v>
      </x:c>
      <x:c r="C5" s="56" t="n">
        <x:v>1</x:v>
      </x:c>
      <x:c r="D5" s="58" t="str">
        <x:v>_RowNumber</x:v>
      </x:c>
    </x:row>
    <x:row r="6" ht="15" customHeight="1">
      <x:c r="A6" s="57" t="str">
        <x:v>OLTP</x:v>
      </x:c>
      <x:c r="B6" s="59" t="str">
        <x:v>Visible Borrowers</x:v>
      </x:c>
      <x:c r="C6" s="57" t="n">
        <x:v>2</x:v>
      </x:c>
      <x:c r="D6" s="59" t="str">
        <x:v>Row ID</x:v>
      </x:c>
    </x:row>
    <x:row r="7" ht="15" customHeight="1">
      <x:c r="A7" s="57" t="str">
        <x:v>OLTP</x:v>
      </x:c>
      <x:c r="B7" s="59" t="str">
        <x:v>Visible Borrowers</x:v>
      </x:c>
      <x:c r="C7" s="57" t="n">
        <x:v>3</x:v>
      </x:c>
      <x:c r="D7" s="59" t="str">
        <x:v>Borrower Name</x:v>
      </x:c>
    </x:row>
    <x:row r="8" ht="15" customHeight="1">
      <x:c r="A8" s="57" t="str">
        <x:v>OLTP</x:v>
      </x:c>
      <x:c r="B8" s="59" t="str">
        <x:v>Visible Borrowers</x:v>
      </x:c>
      <x:c r="C8" s="57" t="n">
        <x:v>4</x:v>
      </x:c>
      <x:c r="D8" s="59" t="str">
        <x:v>Telephone</x:v>
      </x:c>
    </x:row>
    <x:row r="9" ht="15" customHeight="1">
      <x:c r="A9" s="57" t="str">
        <x:v>OLTP</x:v>
      </x:c>
      <x:c r="B9" s="59" t="str">
        <x:v>Visible Borrowers</x:v>
      </x:c>
      <x:c r="C9" s="57" t="n">
        <x:v>5</x:v>
      </x:c>
      <x:c r="D9" s="59" t="str">
        <x:v>Description</x:v>
      </x:c>
    </x:row>
    <x:row r="10" ht="15" customHeight="1">
      <x:c r="A10" s="57" t="str">
        <x:v>OLTP</x:v>
      </x:c>
      <x:c r="B10" s="59" t="str">
        <x:v>Visible Borrowers</x:v>
      </x:c>
      <x:c r="C10" s="57" t="n">
        <x:v>6</x:v>
      </x:c>
      <x:c r="D10" s="59" t="str">
        <x:v>Creation Date</x:v>
      </x:c>
    </x:row>
    <x:row r="11" ht="15" customHeight="1">
      <x:c r="A11" s="57" t="str">
        <x:v>OLTP</x:v>
      </x:c>
      <x:c r="B11" s="59" t="str">
        <x:v>Visible Borrowers</x:v>
      </x:c>
      <x:c r="C11" s="57" t="n">
        <x:v>7</x:v>
      </x:c>
      <x:c r="D11" s="59" t="str">
        <x:v>Hidden Flag</x:v>
      </x:c>
    </x:row>
    <x:row r="12" ht="15" customHeight="1">
      <x:c r="A12" s="57" t="str">
        <x:v>OLTP</x:v>
      </x:c>
      <x:c r="B12" s="59" t="str">
        <x:v>Visible Borrowers</x:v>
      </x:c>
      <x:c r="C12" s="57" t="n">
        <x:v>8</x:v>
      </x:c>
      <x:c r="D12" s="59" t="str">
        <x:v>Related Loans</x:v>
      </x:c>
    </x:row>
    <x:row r="13" ht="15" customHeight="1">
      <x:c r="A13" s="57" t="str">
        <x:v>OLTP</x:v>
      </x:c>
      <x:c r="B13" s="59" t="str">
        <x:v>Visible Borrowers</x:v>
      </x:c>
      <x:c r="C13" s="57" t="n">
        <x:v>9</x:v>
      </x:c>
      <x:c r="D13" s="59" t="str">
        <x:v>Total Interest Earned</x:v>
      </x:c>
    </x:row>
    <x:row r="14" ht="15" customHeight="1">
      <x:c r="A14" s="57" t="str">
        <x:v>OLTP</x:v>
      </x:c>
      <x:c r="B14" s="59" t="str">
        <x:v>Visible Borrowers</x:v>
      </x:c>
      <x:c r="C14" s="57" t="n">
        <x:v>10</x:v>
      </x:c>
      <x:c r="D14" s="59" t="str">
        <x:v>Total Amount Loaned</x:v>
      </x:c>
    </x:row>
    <x:row r="15" ht="15" customHeight="1">
      <x:c r="A15" s="57" t="str">
        <x:v>OLTP</x:v>
      </x:c>
      <x:c r="B15" s="59" t="str">
        <x:v>Visible Borrowers</x:v>
      </x:c>
      <x:c r="C15" s="57" t="n">
        <x:v>11</x:v>
      </x:c>
      <x:c r="D15" s="59" t="str">
        <x:v>Total Number of Loans</x:v>
      </x:c>
    </x:row>
    <x:row r="16" ht="15" customHeight="1">
      <x:c r="A16" s="57" t="str">
        <x:v>OLTP</x:v>
      </x:c>
      <x:c r="B16" s="59" t="str">
        <x:v>Visible Borrowers</x:v>
      </x:c>
      <x:c r="C16" s="57" t="n">
        <x:v>12</x:v>
      </x:c>
      <x:c r="D16" s="59" t="str">
        <x:v>Total Outstanding Principal</x:v>
      </x:c>
    </x:row>
    <x:row r="17" ht="15" customHeight="1">
      <x:c r="A17" s="57" t="str">
        <x:v>OLTP</x:v>
      </x:c>
      <x:c r="B17" s="59" t="str">
        <x:v>Visible Borrowers</x:v>
      </x:c>
      <x:c r="C17" s="57" t="n">
        <x:v>13</x:v>
      </x:c>
      <x:c r="D17" s="59" t="str">
        <x:v>Header - Active Loans</x:v>
      </x:c>
    </x:row>
    <x:row r="18" ht="15" customHeight="1">
      <x:c r="A18" s="57" t="str">
        <x:v>OLTP</x:v>
      </x:c>
      <x:c r="B18" s="59" t="str">
        <x:v>Visible Borrowers</x:v>
      </x:c>
      <x:c r="C18" s="57" t="n">
        <x:v>14</x:v>
      </x:c>
      <x:c r="D18" s="59" t="str">
        <x:v>Borrower Name TE</x:v>
      </x:c>
    </x:row>
    <x:row r="19" ht="15" customHeight="1">
      <x:c r="A19" s="57" t="str">
        <x:v>OLTP</x:v>
      </x:c>
      <x:c r="B19" s="59" t="str">
        <x:v>Visible Borrowers</x:v>
      </x:c>
      <x:c r="C19" s="57" t="n">
        <x:v>15</x:v>
      </x:c>
      <x:c r="D19" s="59" t="str">
        <x:v>Return on Active Principal</x:v>
      </x:c>
    </x:row>
    <x:row r="20" ht="15" customHeight="1">
      <x:c r="A20" s="57" t="str">
        <x:v>OLTP</x:v>
      </x:c>
      <x:c r="B20" s="59" t="str">
        <x:v>Visible Borrowers</x:v>
      </x:c>
      <x:c r="C20" s="57" t="n">
        <x:v>16</x:v>
      </x:c>
      <x:c r="D20" s="59" t="str">
        <x:v>Active Loan Interest Earned</x:v>
      </x:c>
    </x:row>
    <x:row r="21" ht="15" customHeight="1">
      <x:c r="A21" s="57" t="str">
        <x:v>OLTP</x:v>
      </x:c>
      <x:c r="B21" s="59" t="str">
        <x:v>Visible Borrowers</x:v>
      </x:c>
      <x:c r="C21" s="57" t="n">
        <x:v>17</x:v>
      </x:c>
      <x:c r="D21" s="59" t="str">
        <x:v>Active Daily Interest</x:v>
      </x:c>
    </x:row>
    <x:row r="22" ht="15" customHeight="1">
      <x:c r="A22" s="57" t="str">
        <x:v>OLTP</x:v>
      </x:c>
      <x:c r="B22" s="59" t="str">
        <x:v>Visible Borrowers</x:v>
      </x:c>
      <x:c r="C22" s="57" t="n">
        <x:v>18</x:v>
      </x:c>
      <x:c r="D22" s="59" t="str">
        <x:v>Projected Interest Coverage Date</x:v>
      </x:c>
    </x:row>
    <x:row r="23" ht="15" customHeight="1">
      <x:c r="A23" s="57" t="str">
        <x:v>OLTP</x:v>
      </x:c>
      <x:c r="B23" s="59" t="str">
        <x:v>Visible Borrowers</x:v>
      </x:c>
      <x:c r="C23" s="57" t="n">
        <x:v>19</x:v>
      </x:c>
      <x:c r="D23" s="59" t="str">
        <x:v>Closed Loan Interest Earned</x:v>
      </x:c>
    </x:row>
    <x:row r="24" ht="15" customHeight="1">
      <x:c r="A24" s="57" t="str">
        <x:v>OLTP</x:v>
      </x:c>
      <x:c r="B24" s="59" t="str">
        <x:v>Visible Borrowers</x:v>
      </x:c>
      <x:c r="C24" s="57" t="n">
        <x:v>20</x:v>
      </x:c>
      <x:c r="D24" s="59" t="str">
        <x:v>Closed Loan Principle</x:v>
      </x:c>
    </x:row>
    <x:row r="25" ht="15" customHeight="1">
      <x:c r="A25" s="57" t="str">
        <x:v>OLTP</x:v>
      </x:c>
      <x:c r="B25" s="59" t="str">
        <x:v>Visible Borrowers</x:v>
      </x:c>
      <x:c r="C25" s="57" t="n">
        <x:v>21</x:v>
      </x:c>
      <x:c r="D25" s="59" t="str">
        <x:v>Has Closed Loan</x:v>
      </x:c>
    </x:row>
    <x:row r="26" ht="15" customHeight="1">
      <x:c r="A26" s="57" t="str">
        <x:v>OLTP</x:v>
      </x:c>
      <x:c r="B26" s="59" t="str">
        <x:v>Visible Borrowers</x:v>
      </x:c>
      <x:c r="C26" s="57" t="n">
        <x:v>22</x:v>
      </x:c>
      <x:c r="D26" s="59" t="str">
        <x:v>Return on Closed Loans</x:v>
      </x:c>
    </x:row>
    <x:row r="27" ht="15" customHeight="1">
      <x:c r="A27" s="57" t="str">
        <x:v>OLTP</x:v>
      </x:c>
      <x:c r="B27" s="59" t="str">
        <x:v>Visible Borrowers</x:v>
      </x:c>
      <x:c r="C27" s="57" t="n">
        <x:v>23</x:v>
      </x:c>
      <x:c r="D27" s="59" t="str">
        <x:v>Header - Closed Loans</x:v>
      </x:c>
    </x:row>
    <x:row r="28" ht="15" customHeight="1">
      <x:c r="A28" s="57" t="str">
        <x:v>OLTP</x:v>
      </x:c>
      <x:c r="B28" s="59" t="str">
        <x:v>Visible Borrowers</x:v>
      </x:c>
      <x:c r="C28" s="57" t="n">
        <x:v>24</x:v>
      </x:c>
      <x:c r="D28" s="59" t="str">
        <x:v>Has Active Loan</x:v>
      </x:c>
    </x:row>
    <x:row r="29" ht="15" customHeight="1">
      <x:c r="A29" s="57" t="str">
        <x:v>OLTP</x:v>
      </x:c>
      <x:c r="B29" s="59" t="str">
        <x:v>Visible Borrowers</x:v>
      </x:c>
      <x:c r="C29" s="57" t="n">
        <x:v>25</x:v>
      </x:c>
      <x:c r="D29" s="59" t="str">
        <x:v>Daily Collection Status</x:v>
      </x:c>
    </x:row>
    <x:row r="30" ht="15" customHeight="1">
      <x:c r="A30" s="57" t="str">
        <x:v>OLTP</x:v>
      </x:c>
      <x:c r="B30" s="59" t="str">
        <x:v>Visible Borrowers</x:v>
      </x:c>
      <x:c r="C30" s="57" t="n">
        <x:v>26</x:v>
      </x:c>
      <x:c r="D30" s="59" t="str">
        <x:v>Todays Collection Charges</x:v>
      </x:c>
    </x:row>
    <x:row r="31" ht="15" customHeight="1">
      <x:c r="A31" s="57" t="str">
        <x:v>OLTP</x:v>
      </x:c>
      <x:c r="B31" s="59" t="str">
        <x:v>Visible Borrowers</x:v>
      </x:c>
      <x:c r="C31" s="57" t="n">
        <x:v>27</x:v>
      </x:c>
      <x:c r="D31" s="59" t="str">
        <x:v>Todays Amount Due</x:v>
      </x:c>
    </x:row>
    <x:row r="32" ht="15" customHeight="1">
      <x:c r="A32" s="57" t="str">
        <x:v>OLTP</x:v>
      </x:c>
      <x:c r="B32" s="59" t="str">
        <x:v>Visible Borrowers</x:v>
      </x:c>
      <x:c r="C32" s="57" t="n">
        <x:v>28</x:v>
      </x:c>
      <x:c r="D32" s="59" t="str">
        <x:v>Todays Amount Collected</x:v>
      </x:c>
    </x:row>
    <x:row r="33" ht="15" customHeight="1">
      <x:c r="A33" s="57" t="str">
        <x:v>OLTP</x:v>
      </x:c>
      <x:c r="B33" s="59" t="str">
        <x:v>Visible Borrowers</x:v>
      </x:c>
      <x:c r="C33" s="57" t="n">
        <x:v>29</x:v>
      </x:c>
      <x:c r="D33" s="59" t="str">
        <x:v>Todays Amount Remaining</x:v>
      </x:c>
    </x:row>
    <x:row r="34" ht="15" customHeight="1">
      <x:c r="A34" s="57" t="str">
        <x:v>OLTP</x:v>
      </x:c>
      <x:c r="B34" s="59" t="str">
        <x:v>Visible Borrowers</x:v>
      </x:c>
      <x:c r="C34" s="57" t="n">
        <x:v>30</x:v>
      </x:c>
      <x:c r="D34" s="59" t="str">
        <x:v>Daily Collection Status - Order</x:v>
      </x:c>
    </x:row>
    <x:row r="35" ht="15" customHeight="1">
      <x:c r="A35" s="57" t="str">
        <x:v>OLTP</x:v>
      </x:c>
      <x:c r="B35" s="59" t="str">
        <x:v>Visible Borrowers</x:v>
      </x:c>
      <x:c r="C35" s="57" t="n">
        <x:v>31</x:v>
      </x:c>
      <x:c r="D35" s="59" t="str">
        <x:v>Borrower Name - Collection</x:v>
      </x:c>
    </x:row>
    <x:row r="36" ht="15" customHeight="1">
      <x:c r="A36" s="57" t="str">
        <x:v>OLTP</x:v>
      </x:c>
      <x:c r="B36" s="59" t="str">
        <x:v>Visible Borrowers</x:v>
      </x:c>
      <x:c r="C36" s="57" t="n">
        <x:v>32</x:v>
      </x:c>
      <x:c r="D36" s="59" t="str">
        <x:v>Active Profit After Principal Coverage</x:v>
      </x:c>
    </x:row>
    <x:row r="37" ht="15" customHeight="1">
      <x:c r="A37" s="57" t="str">
        <x:v>OLTP</x:v>
      </x:c>
      <x:c r="B37" s="59" t="str">
        <x:v>Visible Borrowers</x:v>
      </x:c>
      <x:c r="C37" s="57" t="n">
        <x:v>33</x:v>
      </x:c>
      <x:c r="D37" s="59" t="str">
        <x:v>Related Payments</x:v>
      </x:c>
    </x:row>
    <x:row r="38" ht="15" customHeight="1">
      <x:c r="A38" s="57" t="str">
        <x:v>OLTP</x:v>
      </x:c>
      <x:c r="B38" s="59" t="str">
        <x:v>Todays Collection Board</x:v>
      </x:c>
      <x:c r="C38" s="57" t="n">
        <x:v>1</x:v>
      </x:c>
      <x:c r="D38" s="59" t="str">
        <x:v>_RowNumber</x:v>
      </x:c>
    </x:row>
    <x:row r="39" ht="15" customHeight="1">
      <x:c r="A39" s="57" t="str">
        <x:v>OLTP</x:v>
      </x:c>
      <x:c r="B39" s="59" t="str">
        <x:v>Todays Collection Board</x:v>
      </x:c>
      <x:c r="C39" s="57" t="n">
        <x:v>2</x:v>
      </x:c>
      <x:c r="D39" s="59" t="str">
        <x:v>Row ID</x:v>
      </x:c>
    </x:row>
    <x:row r="40" ht="15" customHeight="1">
      <x:c r="A40" s="57" t="str">
        <x:v>OLTP</x:v>
      </x:c>
      <x:c r="B40" s="59" t="str">
        <x:v>Todays Collection Board</x:v>
      </x:c>
      <x:c r="C40" s="57" t="n">
        <x:v>3</x:v>
      </x:c>
      <x:c r="D40" s="59" t="str">
        <x:v>Borrower Name</x:v>
      </x:c>
    </x:row>
    <x:row r="41" ht="15" customHeight="1">
      <x:c r="A41" s="57" t="str">
        <x:v>OLTP</x:v>
      </x:c>
      <x:c r="B41" s="59" t="str">
        <x:v>Todays Collection Board</x:v>
      </x:c>
      <x:c r="C41" s="57" t="n">
        <x:v>4</x:v>
      </x:c>
      <x:c r="D41" s="59" t="str">
        <x:v>Description</x:v>
      </x:c>
    </x:row>
    <x:row r="42" ht="15" customHeight="1">
      <x:c r="A42" s="57" t="str">
        <x:v>OLTP</x:v>
      </x:c>
      <x:c r="B42" s="59" t="str">
        <x:v>Todays Collection Board</x:v>
      </x:c>
      <x:c r="C42" s="57" t="n">
        <x:v>5</x:v>
      </x:c>
      <x:c r="D42" s="59" t="str">
        <x:v>Daily Collection Status - Order</x:v>
      </x:c>
    </x:row>
    <x:row r="43" ht="15" customHeight="1">
      <x:c r="A43" s="57" t="str">
        <x:v>OLTP</x:v>
      </x:c>
      <x:c r="B43" s="59" t="str">
        <x:v>Todays Collection Board</x:v>
      </x:c>
      <x:c r="C43" s="57" t="n">
        <x:v>6</x:v>
      </x:c>
      <x:c r="D43" s="59" t="str">
        <x:v>Todays Amount Due</x:v>
      </x:c>
    </x:row>
    <x:row r="44" ht="15" customHeight="1">
      <x:c r="A44" s="57" t="str">
        <x:v>OLTP</x:v>
      </x:c>
      <x:c r="B44" s="59" t="str">
        <x:v>Todays Collection Board</x:v>
      </x:c>
      <x:c r="C44" s="57" t="n">
        <x:v>7</x:v>
      </x:c>
      <x:c r="D44" s="59" t="str">
        <x:v>Todays Amount Collected</x:v>
      </x:c>
    </x:row>
    <x:row r="45" ht="15" customHeight="1">
      <x:c r="A45" s="57" t="str">
        <x:v>OLTP</x:v>
      </x:c>
      <x:c r="B45" s="59" t="str">
        <x:v>Todays Collection Board</x:v>
      </x:c>
      <x:c r="C45" s="57" t="n">
        <x:v>8</x:v>
      </x:c>
      <x:c r="D45" s="59" t="str">
        <x:v>Todays Amount Remaining</x:v>
      </x:c>
    </x:row>
    <x:row r="46" ht="15" customHeight="1">
      <x:c r="A46" s="57" t="str">
        <x:v>OLTP</x:v>
      </x:c>
      <x:c r="B46" s="59" t="str">
        <x:v>Todays Collection Board</x:v>
      </x:c>
      <x:c r="C46" s="57" t="n">
        <x:v>9</x:v>
      </x:c>
      <x:c r="D46" s="59" t="str">
        <x:v>Todays Collection Charges</x:v>
      </x:c>
    </x:row>
    <x:row r="47" ht="15" customHeight="1">
      <x:c r="A47" s="57" t="str">
        <x:v>OLTP</x:v>
      </x:c>
      <x:c r="B47" s="59" t="str">
        <x:v>Todays Collection Board</x:v>
      </x:c>
      <x:c r="C47" s="57" t="n">
        <x:v>10</x:v>
      </x:c>
      <x:c r="D47" s="59" t="str">
        <x:v>Borrower Name - Collection</x:v>
      </x:c>
    </x:row>
    <x:row r="48" ht="15" customHeight="1">
      <x:c r="A48" s="57" t="str">
        <x:v>OLTP</x:v>
      </x:c>
      <x:c r="B48" s="59" t="str">
        <x:v>Todays Collection Board</x:v>
      </x:c>
      <x:c r="C48" s="57" t="n">
        <x:v>11</x:v>
      </x:c>
      <x:c r="D48" s="59" t="str">
        <x:v>Hidden Flag</x:v>
      </x:c>
    </x:row>
    <x:row r="49" ht="15" customHeight="1">
      <x:c r="A49" s="57" t="str">
        <x:v>OLTP</x:v>
      </x:c>
      <x:c r="B49" s="59" t="str">
        <x:v>Todays Collection Board</x:v>
      </x:c>
      <x:c r="C49" s="57" t="n">
        <x:v>12</x:v>
      </x:c>
      <x:c r="D49" s="59" t="str">
        <x:v>Related Payments</x:v>
      </x:c>
    </x:row>
    <x:row r="50" ht="15" customHeight="1">
      <x:c r="A50" s="57" t="str">
        <x:v>OLAP</x:v>
      </x:c>
      <x:c r="B50" s="59" t="str">
        <x:v>Borrowers with Outstanding Loans</x:v>
      </x:c>
      <x:c r="C50" s="57" t="n">
        <x:v>1</x:v>
      </x:c>
      <x:c r="D50" s="59" t="str">
        <x:v>_RowNumber</x:v>
      </x:c>
    </x:row>
    <x:row r="51" ht="15" customHeight="1">
      <x:c r="A51" s="57" t="str">
        <x:v>OLAP</x:v>
      </x:c>
      <x:c r="B51" s="59" t="str">
        <x:v>Borrowers with Outstanding Loans</x:v>
      </x:c>
      <x:c r="C51" s="57" t="n">
        <x:v>2</x:v>
      </x:c>
      <x:c r="D51" s="59" t="str">
        <x:v>Row ID</x:v>
      </x:c>
    </x:row>
    <x:row r="52" ht="15" customHeight="1">
      <x:c r="A52" s="57" t="str">
        <x:v>OLAP</x:v>
      </x:c>
      <x:c r="B52" s="59" t="str">
        <x:v>Borrowers with Outstanding Loans</x:v>
      </x:c>
      <x:c r="C52" s="57" t="n">
        <x:v>3</x:v>
      </x:c>
      <x:c r="D52" s="59" t="str">
        <x:v>Borrower Name</x:v>
      </x:c>
    </x:row>
    <x:row r="53" ht="15" customHeight="1">
      <x:c r="A53" s="57" t="str">
        <x:v>OLAP</x:v>
      </x:c>
      <x:c r="B53" s="59" t="str">
        <x:v>Borrowers with Outstanding Loans</x:v>
      </x:c>
      <x:c r="C53" s="57" t="n">
        <x:v>4</x:v>
      </x:c>
      <x:c r="D53" s="59" t="str">
        <x:v>Telephone</x:v>
      </x:c>
    </x:row>
    <x:row r="54" ht="15" customHeight="1">
      <x:c r="A54" s="57" t="str">
        <x:v>OLAP</x:v>
      </x:c>
      <x:c r="B54" s="59" t="str">
        <x:v>Borrowers with Outstanding Loans</x:v>
      </x:c>
      <x:c r="C54" s="57" t="n">
        <x:v>5</x:v>
      </x:c>
      <x:c r="D54" s="59" t="str">
        <x:v>Description</x:v>
      </x:c>
    </x:row>
    <x:row r="55" ht="15" customHeight="1">
      <x:c r="A55" s="57" t="str">
        <x:v>OLAP</x:v>
      </x:c>
      <x:c r="B55" s="59" t="str">
        <x:v>Borrowers with Outstanding Loans</x:v>
      </x:c>
      <x:c r="C55" s="57" t="n">
        <x:v>6</x:v>
      </x:c>
      <x:c r="D55" s="59" t="str">
        <x:v>Creation Date</x:v>
      </x:c>
    </x:row>
    <x:row r="56" ht="15" customHeight="1">
      <x:c r="A56" s="57" t="str">
        <x:v>OLAP</x:v>
      </x:c>
      <x:c r="B56" s="59" t="str">
        <x:v>Borrowers with Outstanding Loans</x:v>
      </x:c>
      <x:c r="C56" s="57" t="n">
        <x:v>7</x:v>
      </x:c>
      <x:c r="D56" s="59" t="str">
        <x:v>Related Loans</x:v>
      </x:c>
    </x:row>
    <x:row r="57" ht="15" customHeight="1">
      <x:c r="A57" s="57" t="str">
        <x:v>OLAP</x:v>
      </x:c>
      <x:c r="B57" s="59" t="str">
        <x:v>Borrowers with Outstanding Loans</x:v>
      </x:c>
      <x:c r="C57" s="57" t="n">
        <x:v>8</x:v>
      </x:c>
      <x:c r="D57" s="59" t="str">
        <x:v>Total Interest Earned</x:v>
      </x:c>
    </x:row>
    <x:row r="58" ht="15" customHeight="1">
      <x:c r="A58" s="57" t="str">
        <x:v>OLAP</x:v>
      </x:c>
      <x:c r="B58" s="59" t="str">
        <x:v>Borrowers with Outstanding Loans</x:v>
      </x:c>
      <x:c r="C58" s="57" t="n">
        <x:v>9</x:v>
      </x:c>
      <x:c r="D58" s="59" t="str">
        <x:v>Total Amount Loaned</x:v>
      </x:c>
    </x:row>
    <x:row r="59" ht="15" customHeight="1">
      <x:c r="A59" s="57" t="str">
        <x:v>OLAP</x:v>
      </x:c>
      <x:c r="B59" s="59" t="str">
        <x:v>Borrowers with Outstanding Loans</x:v>
      </x:c>
      <x:c r="C59" s="57" t="n">
        <x:v>10</x:v>
      </x:c>
      <x:c r="D59" s="59" t="str">
        <x:v>Total Number of Loans</x:v>
      </x:c>
    </x:row>
    <x:row r="60" ht="15" customHeight="1">
      <x:c r="A60" s="57" t="str">
        <x:v>OLAP</x:v>
      </x:c>
      <x:c r="B60" s="59" t="str">
        <x:v>Borrowers with Outstanding Loans</x:v>
      </x:c>
      <x:c r="C60" s="57" t="n">
        <x:v>11</x:v>
      </x:c>
      <x:c r="D60" s="59" t="str">
        <x:v>Total Outstanding Principal</x:v>
      </x:c>
    </x:row>
    <x:row r="61" ht="15" customHeight="1">
      <x:c r="A61" s="57" t="str">
        <x:v>OLAP</x:v>
      </x:c>
      <x:c r="B61" s="59" t="str">
        <x:v>Borrowers with Outstanding Loans</x:v>
      </x:c>
      <x:c r="C61" s="57" t="n">
        <x:v>12</x:v>
      </x:c>
      <x:c r="D61" s="59" t="str">
        <x:v>Header - Active Loans</x:v>
      </x:c>
    </x:row>
    <x:row r="62" ht="15" customHeight="1">
      <x:c r="A62" s="57" t="str">
        <x:v>OLAP</x:v>
      </x:c>
      <x:c r="B62" s="59" t="str">
        <x:v>Borrowers with Outstanding Loans</x:v>
      </x:c>
      <x:c r="C62" s="57" t="n">
        <x:v>13</x:v>
      </x:c>
      <x:c r="D62" s="59" t="str">
        <x:v>Borrower Name TE</x:v>
      </x:c>
    </x:row>
    <x:row r="63" ht="15" customHeight="1">
      <x:c r="A63" s="57" t="str">
        <x:v>OLAP</x:v>
      </x:c>
      <x:c r="B63" s="59" t="str">
        <x:v>Borrowers with Outstanding Loans</x:v>
      </x:c>
      <x:c r="C63" s="57" t="n">
        <x:v>14</x:v>
      </x:c>
      <x:c r="D63" s="59" t="str">
        <x:v>Return on Active Principal</x:v>
      </x:c>
    </x:row>
    <x:row r="64" ht="15" customHeight="1">
      <x:c r="A64" s="57" t="str">
        <x:v>OLAP</x:v>
      </x:c>
      <x:c r="B64" s="59" t="str">
        <x:v>Borrowers with Outstanding Loans</x:v>
      </x:c>
      <x:c r="C64" s="57" t="n">
        <x:v>15</x:v>
      </x:c>
      <x:c r="D64" s="59" t="str">
        <x:v>Profit Last 30 Days</x:v>
      </x:c>
    </x:row>
    <x:row r="65" ht="15" customHeight="1">
      <x:c r="A65" s="57" t="str">
        <x:v>OLAP</x:v>
      </x:c>
      <x:c r="B65" s="59" t="str">
        <x:v>Borrowers with Outstanding Loans</x:v>
      </x:c>
      <x:c r="C65" s="57" t="n">
        <x:v>16</x:v>
      </x:c>
      <x:c r="D65" s="59" t="str">
        <x:v>Projected Interest Coverage Date</x:v>
      </x:c>
    </x:row>
    <x:row r="66" ht="15" customHeight="1">
      <x:c r="A66" s="57" t="str">
        <x:v>OLAP</x:v>
      </x:c>
      <x:c r="B66" s="59" t="str">
        <x:v>Borrowers with Outstanding Loans</x:v>
      </x:c>
      <x:c r="C66" s="57" t="n">
        <x:v>17</x:v>
      </x:c>
      <x:c r="D66" s="59" t="str">
        <x:v>Active Loan Interest Earned</x:v>
      </x:c>
    </x:row>
    <x:row r="67" ht="15" customHeight="1">
      <x:c r="A67" s="57" t="str">
        <x:v>OLAP</x:v>
      </x:c>
      <x:c r="B67" s="59" t="str">
        <x:v>Borrowers with Outstanding Loans</x:v>
      </x:c>
      <x:c r="C67" s="57" t="n">
        <x:v>18</x:v>
      </x:c>
      <x:c r="D67" s="59" t="str">
        <x:v>Active Daily Interest</x:v>
      </x:c>
    </x:row>
    <x:row r="68" ht="15" customHeight="1">
      <x:c r="A68" s="57" t="str">
        <x:v>OLAP</x:v>
      </x:c>
      <x:c r="B68" s="59" t="str">
        <x:v>Borrowers with Outstanding Loans</x:v>
      </x:c>
      <x:c r="C68" s="57" t="n">
        <x:v>19</x:v>
      </x:c>
      <x:c r="D68" s="59" t="str">
        <x:v>Related Loan Assessments</x:v>
      </x:c>
    </x:row>
    <x:row r="69" ht="15" customHeight="1">
      <x:c r="A69" s="57" t="str">
        <x:v>OLAP</x:v>
      </x:c>
      <x:c r="B69" s="59" t="str">
        <x:v>Borrowers with Outstanding Loans</x:v>
      </x:c>
      <x:c r="C69" s="57" t="n">
        <x:v>20</x:v>
      </x:c>
      <x:c r="D69" s="59" t="str">
        <x:v>Related Calendars</x:v>
      </x:c>
    </x:row>
    <x:row r="70" ht="15" customHeight="1">
      <x:c r="A70" s="57" t="str">
        <x:v>OLAP</x:v>
      </x:c>
      <x:c r="B70" s="59" t="str">
        <x:v>Borrowers with Outstanding Loans</x:v>
      </x:c>
      <x:c r="C70" s="57" t="n">
        <x:v>21</x:v>
      </x:c>
      <x:c r="D70" s="59" t="str">
        <x:v>Closed Loan Interest Earned</x:v>
      </x:c>
    </x:row>
    <x:row r="71" ht="15" customHeight="1">
      <x:c r="A71" s="57" t="str">
        <x:v>OLAP</x:v>
      </x:c>
      <x:c r="B71" s="59" t="str">
        <x:v>Borrowers with Outstanding Loans</x:v>
      </x:c>
      <x:c r="C71" s="57" t="n">
        <x:v>22</x:v>
      </x:c>
      <x:c r="D71" s="59" t="str">
        <x:v>Closed Loan Principle</x:v>
      </x:c>
    </x:row>
    <x:row r="72" ht="15" customHeight="1">
      <x:c r="A72" s="57" t="str">
        <x:v>OLAP</x:v>
      </x:c>
      <x:c r="B72" s="59" t="str">
        <x:v>Borrowers with Outstanding Loans</x:v>
      </x:c>
      <x:c r="C72" s="57" t="n">
        <x:v>23</x:v>
      </x:c>
      <x:c r="D72" s="59" t="str">
        <x:v>Has Closed Loan</x:v>
      </x:c>
    </x:row>
    <x:row r="73" ht="15" customHeight="1">
      <x:c r="A73" s="57" t="str">
        <x:v>OLAP</x:v>
      </x:c>
      <x:c r="B73" s="59" t="str">
        <x:v>Borrowers with Outstanding Loans</x:v>
      </x:c>
      <x:c r="C73" s="57" t="n">
        <x:v>24</x:v>
      </x:c>
      <x:c r="D73" s="59" t="str">
        <x:v>Return on Closed Loans</x:v>
      </x:c>
    </x:row>
    <x:row r="74" ht="15" customHeight="1">
      <x:c r="A74" s="57" t="str">
        <x:v>OLAP</x:v>
      </x:c>
      <x:c r="B74" s="59" t="str">
        <x:v>Borrowers with Outstanding Loans</x:v>
      </x:c>
      <x:c r="C74" s="57" t="n">
        <x:v>25</x:v>
      </x:c>
      <x:c r="D74" s="59" t="str">
        <x:v>Header - Closed Loans</x:v>
      </x:c>
    </x:row>
    <x:row r="75" ht="15" customHeight="1">
      <x:c r="A75" s="57" t="str">
        <x:v>OLAP</x:v>
      </x:c>
      <x:c r="B75" s="59" t="str">
        <x:v>Borrowers with Outstanding Loans</x:v>
      </x:c>
      <x:c r="C75" s="57" t="n">
        <x:v>26</x:v>
      </x:c>
      <x:c r="D75" s="59" t="str">
        <x:v>Has Active Loan</x:v>
      </x:c>
    </x:row>
    <x:row r="76" ht="15" customHeight="1">
      <x:c r="A76" s="57" t="str">
        <x:v>OLAP</x:v>
      </x:c>
      <x:c r="B76" s="59" t="str">
        <x:v>Borrowers with Outstanding Loans</x:v>
      </x:c>
      <x:c r="C76" s="57" t="n">
        <x:v>27</x:v>
      </x:c>
      <x:c r="D76" s="59" t="str">
        <x:v>30D Gross Principal Days</x:v>
      </x:c>
    </x:row>
    <x:row r="77" ht="15" customHeight="1">
      <x:c r="A77" s="57" t="str">
        <x:v>OLAP</x:v>
      </x:c>
      <x:c r="B77" s="59" t="str">
        <x:v>Borrowers with Outstanding Loans</x:v>
      </x:c>
      <x:c r="C77" s="57" t="n">
        <x:v>28</x:v>
      </x:c>
      <x:c r="D77" s="59" t="str">
        <x:v>30D Principal Reduction Days</x:v>
      </x:c>
    </x:row>
    <x:row r="78" ht="15" customHeight="1">
      <x:c r="A78" s="57" t="str">
        <x:v>OLAP</x:v>
      </x:c>
      <x:c r="B78" s="59" t="str">
        <x:v>Borrowers with Outstanding Loans</x:v>
      </x:c>
      <x:c r="C78" s="57" t="n">
        <x:v>29</x:v>
      </x:c>
      <x:c r="D78" s="59" t="str">
        <x:v>30D Average Outstanding Principal</x:v>
      </x:c>
    </x:row>
    <x:row r="79" ht="15" customHeight="1">
      <x:c r="A79" s="57" t="str">
        <x:v>OLAP</x:v>
      </x:c>
      <x:c r="B79" s="59" t="str">
        <x:v>Borrowers with Outstanding Loans</x:v>
      </x:c>
      <x:c r="C79" s="57" t="n">
        <x:v>30</x:v>
      </x:c>
      <x:c r="D79" s="59" t="str">
        <x:v>30D Return on Average Principal</x:v>
      </x:c>
    </x:row>
    <x:row r="80" ht="15" customHeight="1">
      <x:c r="A80" s="57" t="str">
        <x:v>OLAP</x:v>
      </x:c>
      <x:c r="B80" s="59" t="str">
        <x:v>Borrowers with Outstanding Loans</x:v>
      </x:c>
      <x:c r="C80" s="57" t="n">
        <x:v>31</x:v>
      </x:c>
      <x:c r="D80" s="59" t="str">
        <x:v>Daily Collection Status</x:v>
      </x:c>
    </x:row>
    <x:row r="81" ht="15" customHeight="1">
      <x:c r="A81" s="57" t="str">
        <x:v>OLAP</x:v>
      </x:c>
      <x:c r="B81" s="59" t="str">
        <x:v>Borrowers with Outstanding Loans</x:v>
      </x:c>
      <x:c r="C81" s="57" t="n">
        <x:v>32</x:v>
      </x:c>
      <x:c r="D81" s="59" t="str">
        <x:v>Todays Collection Charges</x:v>
      </x:c>
    </x:row>
    <x:row r="82" ht="15" customHeight="1">
      <x:c r="A82" s="57" t="str">
        <x:v>OLAP</x:v>
      </x:c>
      <x:c r="B82" s="59" t="str">
        <x:v>Borrowers with Outstanding Loans</x:v>
      </x:c>
      <x:c r="C82" s="57" t="n">
        <x:v>33</x:v>
      </x:c>
      <x:c r="D82" s="59" t="str">
        <x:v>Todays Amount Due</x:v>
      </x:c>
    </x:row>
    <x:row r="83" ht="15" customHeight="1">
      <x:c r="A83" s="57" t="str">
        <x:v>OLAP</x:v>
      </x:c>
      <x:c r="B83" s="59" t="str">
        <x:v>Borrowers with Outstanding Loans</x:v>
      </x:c>
      <x:c r="C83" s="57" t="n">
        <x:v>34</x:v>
      </x:c>
      <x:c r="D83" s="59" t="str">
        <x:v>Todays Amount Collected</x:v>
      </x:c>
    </x:row>
    <x:row r="84" ht="15" customHeight="1">
      <x:c r="A84" s="57" t="str">
        <x:v>OLAP</x:v>
      </x:c>
      <x:c r="B84" s="59" t="str">
        <x:v>Borrowers with Outstanding Loans</x:v>
      </x:c>
      <x:c r="C84" s="57" t="n">
        <x:v>35</x:v>
      </x:c>
      <x:c r="D84" s="59" t="str">
        <x:v>Todays Amount Remaining</x:v>
      </x:c>
    </x:row>
    <x:row r="85" ht="15" customHeight="1">
      <x:c r="A85" s="57" t="str">
        <x:v>OLAP</x:v>
      </x:c>
      <x:c r="B85" s="59" t="str">
        <x:v>Borrowers with Outstanding Loans</x:v>
      </x:c>
      <x:c r="C85" s="57" t="n">
        <x:v>36</x:v>
      </x:c>
      <x:c r="D85" s="59" t="str">
        <x:v>Portfolio Exposure %</x:v>
      </x:c>
    </x:row>
    <x:row r="86" ht="15" customHeight="1">
      <x:c r="A86" s="57" t="str">
        <x:v>OLAP</x:v>
      </x:c>
      <x:c r="B86" s="59" t="str">
        <x:v>Borrowers with Outstanding Loans</x:v>
      </x:c>
      <x:c r="C86" s="57" t="n">
        <x:v>37</x:v>
      </x:c>
      <x:c r="D86" s="59" t="str">
        <x:v>Active Loan Count</x:v>
      </x:c>
    </x:row>
    <x:row r="87" ht="15" customHeight="1">
      <x:c r="A87" s="57" t="str">
        <x:v>OLAP</x:v>
      </x:c>
      <x:c r="B87" s="59" t="str">
        <x:v>Borrowers with Outstanding Loans</x:v>
      </x:c>
      <x:c r="C87" s="57" t="n">
        <x:v>38</x:v>
      </x:c>
      <x:c r="D87" s="59" t="str">
        <x:v>Oldest Active Loan Age</x:v>
      </x:c>
    </x:row>
    <x:row r="88" ht="15" customHeight="1">
      <x:c r="A88" s="57" t="str">
        <x:v>OLAP</x:v>
      </x:c>
      <x:c r="B88" s="59" t="str">
        <x:v>Borrowers with Outstanding Loans</x:v>
      </x:c>
      <x:c r="C88" s="57" t="n">
        <x:v>39</x:v>
      </x:c>
      <x:c r="D88" s="59" t="str">
        <x:v>Overdue Amount</x:v>
      </x:c>
    </x:row>
    <x:row r="89" ht="15" customHeight="1">
      <x:c r="A89" s="57" t="str">
        <x:v>OLAP</x:v>
      </x:c>
      <x:c r="B89" s="59" t="str">
        <x:v>Borrowers with Outstanding Loans</x:v>
      </x:c>
      <x:c r="C89" s="57" t="n">
        <x:v>40</x:v>
      </x:c>
      <x:c r="D89" s="59" t="str">
        <x:v>Overdue Charge Count</x:v>
      </x:c>
    </x:row>
    <x:row r="90" ht="15" customHeight="1">
      <x:c r="A90" s="57" t="str">
        <x:v>OLAP</x:v>
      </x:c>
      <x:c r="B90" s="59" t="str">
        <x:v>Borrowers with Outstanding Loans</x:v>
      </x:c>
      <x:c r="C90" s="57" t="n">
        <x:v>41</x:v>
      </x:c>
      <x:c r="D90" s="59" t="str">
        <x:v>Historical Charge Count</x:v>
      </x:c>
    </x:row>
    <x:row r="91" ht="15" customHeight="1">
      <x:c r="A91" s="57" t="str">
        <x:v>OLAP</x:v>
      </x:c>
      <x:c r="B91" s="59" t="str">
        <x:v>Borrowers with Outstanding Loans</x:v>
      </x:c>
      <x:c r="C91" s="57" t="n">
        <x:v>42</x:v>
      </x:c>
      <x:c r="D91" s="59" t="str">
        <x:v>On Time Charge Count</x:v>
      </x:c>
    </x:row>
    <x:row r="92" ht="15" customHeight="1">
      <x:c r="A92" s="57" t="str">
        <x:v>OLAP</x:v>
      </x:c>
      <x:c r="B92" s="59" t="str">
        <x:v>Borrowers with Outstanding Loans</x:v>
      </x:c>
      <x:c r="C92" s="57" t="n">
        <x:v>43</x:v>
      </x:c>
      <x:c r="D92" s="59" t="str">
        <x:v>Lifetime On Time Rate</x:v>
      </x:c>
    </x:row>
    <x:row r="93" ht="15" customHeight="1">
      <x:c r="A93" s="57" t="str">
        <x:v>OLAP</x:v>
      </x:c>
      <x:c r="B93" s="59" t="str">
        <x:v>Borrowers with Outstanding Loans</x:v>
      </x:c>
      <x:c r="C93" s="57" t="n">
        <x:v>44</x:v>
      </x:c>
      <x:c r="D93" s="59" t="str">
        <x:v>Recent 30D Charge Count</x:v>
      </x:c>
    </x:row>
    <x:row r="94" ht="15" customHeight="1">
      <x:c r="A94" s="57" t="str">
        <x:v>OLAP</x:v>
      </x:c>
      <x:c r="B94" s="59" t="str">
        <x:v>Borrowers with Outstanding Loans</x:v>
      </x:c>
      <x:c r="C94" s="57" t="n">
        <x:v>45</x:v>
      </x:c>
      <x:c r="D94" s="59" t="str">
        <x:v>Recent 30D On Time Count</x:v>
      </x:c>
    </x:row>
    <x:row r="95" ht="15" customHeight="1">
      <x:c r="A95" s="57" t="str">
        <x:v>OLAP</x:v>
      </x:c>
      <x:c r="B95" s="59" t="str">
        <x:v>Borrowers with Outstanding Loans</x:v>
      </x:c>
      <x:c r="C95" s="57" t="n">
        <x:v>46</x:v>
      </x:c>
      <x:c r="D95" s="59" t="str">
        <x:v>Recent 30D On Time Rate</x:v>
      </x:c>
    </x:row>
    <x:row r="96" ht="15" customHeight="1">
      <x:c r="A96" s="57" t="str">
        <x:v>OLAP</x:v>
      </x:c>
      <x:c r="B96" s="59" t="str">
        <x:v>Borrowers with Outstanding Loans</x:v>
      </x:c>
      <x:c r="C96" s="57" t="n">
        <x:v>47</x:v>
      </x:c>
      <x:c r="D96" s="59" t="str">
        <x:v>Lifetime Late Payment Count</x:v>
      </x:c>
    </x:row>
    <x:row r="97" ht="15" customHeight="1">
      <x:c r="A97" s="57" t="str">
        <x:v>OLAP</x:v>
      </x:c>
      <x:c r="B97" s="59" t="str">
        <x:v>Borrowers with Outstanding Loans</x:v>
      </x:c>
      <x:c r="C97" s="57" t="n">
        <x:v>48</x:v>
      </x:c>
      <x:c r="D97" s="59" t="str">
        <x:v>Recent 30D Late Payment Count</x:v>
      </x:c>
    </x:row>
    <x:row r="98" ht="15" customHeight="1">
      <x:c r="A98" s="57" t="str">
        <x:v>OLAP</x:v>
      </x:c>
      <x:c r="B98" s="59" t="str">
        <x:v>Borrowers with Outstanding Loans</x:v>
      </x:c>
      <x:c r="C98" s="57" t="n">
        <x:v>49</x:v>
      </x:c>
      <x:c r="D98" s="59" t="str">
        <x:v>Maximum Days Late</x:v>
      </x:c>
    </x:row>
    <x:row r="99" ht="15" customHeight="1">
      <x:c r="A99" s="57" t="str">
        <x:v>OLAP</x:v>
      </x:c>
      <x:c r="B99" s="59" t="str">
        <x:v>Borrowers with Outstanding Loans</x:v>
      </x:c>
      <x:c r="C99" s="57" t="n">
        <x:v>50</x:v>
      </x:c>
      <x:c r="D99" s="59" t="str">
        <x:v>Last Late Payment Date</x:v>
      </x:c>
    </x:row>
    <x:row r="100" ht="15" customHeight="1">
      <x:c r="A100" s="57" t="str">
        <x:v>OLAP</x:v>
      </x:c>
      <x:c r="B100" s="59" t="str">
        <x:v>Borrowers with Outstanding Loans</x:v>
      </x:c>
      <x:c r="C100" s="57" t="n">
        <x:v>51</x:v>
      </x:c>
      <x:c r="D100" s="59" t="str">
        <x:v>Largest Successful Loan</x:v>
      </x:c>
    </x:row>
    <x:row r="101" ht="15" customHeight="1">
      <x:c r="A101" s="57" t="str">
        <x:v>OLAP</x:v>
      </x:c>
      <x:c r="B101" s="59" t="str">
        <x:v>Borrowers with Outstanding Loans</x:v>
      </x:c>
      <x:c r="C101" s="57" t="n">
        <x:v>52</x:v>
      </x:c>
      <x:c r="D101" s="59" t="str">
        <x:v>Average Successful Loan Size</x:v>
      </x:c>
    </x:row>
    <x:row r="102" ht="15" customHeight="1">
      <x:c r="A102" s="57" t="str">
        <x:v>OLAP</x:v>
      </x:c>
      <x:c r="B102" s="59" t="str">
        <x:v>Borrowers with Outstanding Loans</x:v>
      </x:c>
      <x:c r="C102" s="57" t="n">
        <x:v>53</x:v>
      </x:c>
      <x:c r="D102" s="59" t="str">
        <x:v>Default Count</x:v>
      </x:c>
    </x:row>
    <x:row r="103" ht="15" customHeight="1">
      <x:c r="A103" s="57" t="str">
        <x:v>OLAP</x:v>
      </x:c>
      <x:c r="B103" s="59" t="str">
        <x:v>Borrowers with Outstanding Loans</x:v>
      </x:c>
      <x:c r="C103" s="57" t="n">
        <x:v>54</x:v>
      </x:c>
      <x:c r="D103" s="59" t="str">
        <x:v>Lifetime Default Loss</x:v>
      </x:c>
    </x:row>
    <x:row r="104" ht="15" customHeight="1">
      <x:c r="A104" s="57" t="str">
        <x:v>OLAP</x:v>
      </x:c>
      <x:c r="B104" s="59" t="str">
        <x:v>Borrowers with Outstanding Loans</x:v>
      </x:c>
      <x:c r="C104" s="57" t="n">
        <x:v>55</x:v>
      </x:c>
      <x:c r="D104" s="59" t="str">
        <x:v>Portfolio Outstanding Principal</x:v>
      </x:c>
    </x:row>
    <x:row r="105" ht="15" customHeight="1">
      <x:c r="A105" s="57" t="str">
        <x:v>OLAP</x:v>
      </x:c>
      <x:c r="B105" s="59" t="str">
        <x:v>Borrowers with Outstanding Loans</x:v>
      </x:c>
      <x:c r="C105" s="57" t="n">
        <x:v>56</x:v>
      </x:c>
      <x:c r="D105" s="59" t="str">
        <x:v>Portfolio Share Join Key</x:v>
      </x:c>
    </x:row>
    <x:row r="106" ht="15" customHeight="1">
      <x:c r="A106" s="57" t="str">
        <x:v>OLAP</x:v>
      </x:c>
      <x:c r="B106" s="59" t="str">
        <x:v>Profit Contribution 30D</x:v>
      </x:c>
      <x:c r="C106" s="57" t="n">
        <x:v>1</x:v>
      </x:c>
      <x:c r="D106" s="59" t="str">
        <x:v>_RowNumber</x:v>
      </x:c>
    </x:row>
    <x:row r="107" ht="15" customHeight="1">
      <x:c r="A107" s="57" t="str">
        <x:v>OLAP</x:v>
      </x:c>
      <x:c r="B107" s="59" t="str">
        <x:v>Profit Contribution 30D</x:v>
      </x:c>
      <x:c r="C107" s="57" t="n">
        <x:v>2</x:v>
      </x:c>
      <x:c r="D107" s="59" t="str">
        <x:v>Row ID</x:v>
      </x:c>
    </x:row>
    <x:row r="108" ht="15" customHeight="1">
      <x:c r="A108" s="57" t="str">
        <x:v>OLAP</x:v>
      </x:c>
      <x:c r="B108" s="59" t="str">
        <x:v>Profit Contribution 30D</x:v>
      </x:c>
      <x:c r="C108" s="57" t="n">
        <x:v>3</x:v>
      </x:c>
      <x:c r="D108" s="59" t="str">
        <x:v>Borrower Name</x:v>
      </x:c>
    </x:row>
    <x:row r="109" ht="15" customHeight="1">
      <x:c r="A109" s="57" t="str">
        <x:v>OLAP</x:v>
      </x:c>
      <x:c r="B109" s="59" t="str">
        <x:v>Profit Contribution 30D</x:v>
      </x:c>
      <x:c r="C109" s="57" t="n">
        <x:v>4</x:v>
      </x:c>
      <x:c r="D109" s="59" t="str">
        <x:v>Telephone</x:v>
      </x:c>
    </x:row>
    <x:row r="110" ht="15" customHeight="1">
      <x:c r="A110" s="57" t="str">
        <x:v>OLAP</x:v>
      </x:c>
      <x:c r="B110" s="59" t="str">
        <x:v>Profit Contribution 30D</x:v>
      </x:c>
      <x:c r="C110" s="57" t="n">
        <x:v>5</x:v>
      </x:c>
      <x:c r="D110" s="59" t="str">
        <x:v>Description</x:v>
      </x:c>
    </x:row>
    <x:row r="111" ht="15" customHeight="1">
      <x:c r="A111" s="57" t="str">
        <x:v>OLAP</x:v>
      </x:c>
      <x:c r="B111" s="59" t="str">
        <x:v>Profit Contribution 30D</x:v>
      </x:c>
      <x:c r="C111" s="57" t="n">
        <x:v>6</x:v>
      </x:c>
      <x:c r="D111" s="59" t="str">
        <x:v>Creation Date</x:v>
      </x:c>
    </x:row>
    <x:row r="112" ht="15" customHeight="1">
      <x:c r="A112" s="57" t="str">
        <x:v>OLAP</x:v>
      </x:c>
      <x:c r="B112" s="59" t="str">
        <x:v>Profit Contribution 30D</x:v>
      </x:c>
      <x:c r="C112" s="57" t="n">
        <x:v>7</x:v>
      </x:c>
      <x:c r="D112" s="59" t="str">
        <x:v>Related Loans</x:v>
      </x:c>
    </x:row>
    <x:row r="113" ht="15" customHeight="1">
      <x:c r="A113" s="57" t="str">
        <x:v>OLAP</x:v>
      </x:c>
      <x:c r="B113" s="59" t="str">
        <x:v>Profit Contribution 30D</x:v>
      </x:c>
      <x:c r="C113" s="57" t="n">
        <x:v>8</x:v>
      </x:c>
      <x:c r="D113" s="59" t="str">
        <x:v>Total Interest Earned</x:v>
      </x:c>
    </x:row>
    <x:row r="114" ht="15" customHeight="1">
      <x:c r="A114" s="57" t="str">
        <x:v>OLAP</x:v>
      </x:c>
      <x:c r="B114" s="59" t="str">
        <x:v>Profit Contribution 30D</x:v>
      </x:c>
      <x:c r="C114" s="57" t="n">
        <x:v>9</x:v>
      </x:c>
      <x:c r="D114" s="59" t="str">
        <x:v>Total Amount Loaned</x:v>
      </x:c>
    </x:row>
    <x:row r="115" ht="15" customHeight="1">
      <x:c r="A115" s="57" t="str">
        <x:v>OLAP</x:v>
      </x:c>
      <x:c r="B115" s="59" t="str">
        <x:v>Profit Contribution 30D</x:v>
      </x:c>
      <x:c r="C115" s="57" t="n">
        <x:v>10</x:v>
      </x:c>
      <x:c r="D115" s="59" t="str">
        <x:v>Total Number of Loans</x:v>
      </x:c>
    </x:row>
    <x:row r="116" ht="15" customHeight="1">
      <x:c r="A116" s="57" t="str">
        <x:v>OLAP</x:v>
      </x:c>
      <x:c r="B116" s="59" t="str">
        <x:v>Profit Contribution 30D</x:v>
      </x:c>
      <x:c r="C116" s="57" t="n">
        <x:v>11</x:v>
      </x:c>
      <x:c r="D116" s="59" t="str">
        <x:v>Total Outstanding Principal</x:v>
      </x:c>
    </x:row>
    <x:row r="117" ht="15" customHeight="1">
      <x:c r="A117" s="57" t="str">
        <x:v>OLAP</x:v>
      </x:c>
      <x:c r="B117" s="59" t="str">
        <x:v>Profit Contribution 30D</x:v>
      </x:c>
      <x:c r="C117" s="57" t="n">
        <x:v>12</x:v>
      </x:c>
      <x:c r="D117" s="59" t="str">
        <x:v>Header - Active Loans</x:v>
      </x:c>
    </x:row>
    <x:row r="118" ht="15" customHeight="1">
      <x:c r="A118" s="57" t="str">
        <x:v>OLAP</x:v>
      </x:c>
      <x:c r="B118" s="59" t="str">
        <x:v>Profit Contribution 30D</x:v>
      </x:c>
      <x:c r="C118" s="57" t="n">
        <x:v>13</x:v>
      </x:c>
      <x:c r="D118" s="59" t="str">
        <x:v>Borrower Name TE</x:v>
      </x:c>
    </x:row>
    <x:row r="119" ht="15" customHeight="1">
      <x:c r="A119" s="57" t="str">
        <x:v>OLAP</x:v>
      </x:c>
      <x:c r="B119" s="59" t="str">
        <x:v>Profit Contribution 30D</x:v>
      </x:c>
      <x:c r="C119" s="57" t="n">
        <x:v>14</x:v>
      </x:c>
      <x:c r="D119" s="59" t="str">
        <x:v>Return on Active Principal</x:v>
      </x:c>
    </x:row>
    <x:row r="120" ht="15" customHeight="1">
      <x:c r="A120" s="57" t="str">
        <x:v>OLAP</x:v>
      </x:c>
      <x:c r="B120" s="59" t="str">
        <x:v>Profit Contribution 30D</x:v>
      </x:c>
      <x:c r="C120" s="57" t="n">
        <x:v>15</x:v>
      </x:c>
      <x:c r="D120" s="59" t="str">
        <x:v>Profit Last 30 Days</x:v>
      </x:c>
    </x:row>
    <x:row r="121" ht="15" customHeight="1">
      <x:c r="A121" s="57" t="str">
        <x:v>OLAP</x:v>
      </x:c>
      <x:c r="B121" s="59" t="str">
        <x:v>Profit Contribution 30D</x:v>
      </x:c>
      <x:c r="C121" s="57" t="n">
        <x:v>16</x:v>
      </x:c>
      <x:c r="D121" s="59" t="str">
        <x:v>Projected Interest Coverage Date</x:v>
      </x:c>
    </x:row>
    <x:row r="122" ht="15" customHeight="1">
      <x:c r="A122" s="57" t="str">
        <x:v>OLAP</x:v>
      </x:c>
      <x:c r="B122" s="59" t="str">
        <x:v>Profit Contribution 30D</x:v>
      </x:c>
      <x:c r="C122" s="57" t="n">
        <x:v>17</x:v>
      </x:c>
      <x:c r="D122" s="59" t="str">
        <x:v>Active Loan Interest Earned</x:v>
      </x:c>
    </x:row>
    <x:row r="123" ht="15" customHeight="1">
      <x:c r="A123" s="57" t="str">
        <x:v>OLAP</x:v>
      </x:c>
      <x:c r="B123" s="59" t="str">
        <x:v>Profit Contribution 30D</x:v>
      </x:c>
      <x:c r="C123" s="57" t="n">
        <x:v>18</x:v>
      </x:c>
      <x:c r="D123" s="59" t="str">
        <x:v>Active Daily Interest</x:v>
      </x:c>
    </x:row>
    <x:row r="124" ht="15" customHeight="1">
      <x:c r="A124" s="57" t="str">
        <x:v>OLAP</x:v>
      </x:c>
      <x:c r="B124" s="59" t="str">
        <x:v>Profit Contribution 30D</x:v>
      </x:c>
      <x:c r="C124" s="57" t="n">
        <x:v>19</x:v>
      </x:c>
      <x:c r="D124" s="59" t="str">
        <x:v>Related Loan Assessments</x:v>
      </x:c>
    </x:row>
    <x:row r="125" ht="15" customHeight="1">
      <x:c r="A125" s="57" t="str">
        <x:v>OLAP</x:v>
      </x:c>
      <x:c r="B125" s="59" t="str">
        <x:v>Profit Contribution 30D</x:v>
      </x:c>
      <x:c r="C125" s="57" t="n">
        <x:v>20</x:v>
      </x:c>
      <x:c r="D125" s="59" t="str">
        <x:v>Related Calendars</x:v>
      </x:c>
    </x:row>
    <x:row r="126" ht="15" customHeight="1">
      <x:c r="A126" s="57" t="str">
        <x:v>OLAP</x:v>
      </x:c>
      <x:c r="B126" s="59" t="str">
        <x:v>Profit Contribution 30D</x:v>
      </x:c>
      <x:c r="C126" s="57" t="n">
        <x:v>21</x:v>
      </x:c>
      <x:c r="D126" s="59" t="str">
        <x:v>Closed Loan Interest Earned</x:v>
      </x:c>
    </x:row>
    <x:row r="127" ht="15" customHeight="1">
      <x:c r="A127" s="57" t="str">
        <x:v>OLAP</x:v>
      </x:c>
      <x:c r="B127" s="59" t="str">
        <x:v>Profit Contribution 30D</x:v>
      </x:c>
      <x:c r="C127" s="57" t="n">
        <x:v>22</x:v>
      </x:c>
      <x:c r="D127" s="59" t="str">
        <x:v>Closed Loan Principle</x:v>
      </x:c>
    </x:row>
    <x:row r="128" ht="15" customHeight="1">
      <x:c r="A128" s="57" t="str">
        <x:v>OLAP</x:v>
      </x:c>
      <x:c r="B128" s="59" t="str">
        <x:v>Profit Contribution 30D</x:v>
      </x:c>
      <x:c r="C128" s="57" t="n">
        <x:v>23</x:v>
      </x:c>
      <x:c r="D128" s="59" t="str">
        <x:v>Has Closed Loan</x:v>
      </x:c>
    </x:row>
    <x:row r="129" ht="15" customHeight="1">
      <x:c r="A129" s="57" t="str">
        <x:v>OLAP</x:v>
      </x:c>
      <x:c r="B129" s="59" t="str">
        <x:v>Profit Contribution 30D</x:v>
      </x:c>
      <x:c r="C129" s="57" t="n">
        <x:v>24</x:v>
      </x:c>
      <x:c r="D129" s="59" t="str">
        <x:v>Return on Closed Loans</x:v>
      </x:c>
    </x:row>
    <x:row r="130" ht="15" customHeight="1">
      <x:c r="A130" s="57" t="str">
        <x:v>OLAP</x:v>
      </x:c>
      <x:c r="B130" s="59" t="str">
        <x:v>Profit Contribution 30D</x:v>
      </x:c>
      <x:c r="C130" s="57" t="n">
        <x:v>25</x:v>
      </x:c>
      <x:c r="D130" s="59" t="str">
        <x:v>Header - Closed Loans</x:v>
      </x:c>
    </x:row>
    <x:row r="131" ht="15" customHeight="1">
      <x:c r="A131" s="57" t="str">
        <x:v>OLAP</x:v>
      </x:c>
      <x:c r="B131" s="59" t="str">
        <x:v>Profit Contribution 30D</x:v>
      </x:c>
      <x:c r="C131" s="57" t="n">
        <x:v>26</x:v>
      </x:c>
      <x:c r="D131" s="59" t="str">
        <x:v>Has Active Loan</x:v>
      </x:c>
    </x:row>
    <x:row r="132" ht="15" customHeight="1">
      <x:c r="A132" s="57" t="str">
        <x:v>OLAP</x:v>
      </x:c>
      <x:c r="B132" s="59" t="str">
        <x:v>Profit Contribution 30D</x:v>
      </x:c>
      <x:c r="C132" s="57" t="n">
        <x:v>27</x:v>
      </x:c>
      <x:c r="D132" s="59" t="str">
        <x:v>30D Gross Principal Days</x:v>
      </x:c>
    </x:row>
    <x:row r="133" ht="15" customHeight="1">
      <x:c r="A133" s="57" t="str">
        <x:v>OLAP</x:v>
      </x:c>
      <x:c r="B133" s="59" t="str">
        <x:v>Profit Contribution 30D</x:v>
      </x:c>
      <x:c r="C133" s="57" t="n">
        <x:v>28</x:v>
      </x:c>
      <x:c r="D133" s="59" t="str">
        <x:v>30D Principal Reduction Days</x:v>
      </x:c>
    </x:row>
    <x:row r="134" ht="15" customHeight="1">
      <x:c r="A134" s="57" t="str">
        <x:v>OLAP</x:v>
      </x:c>
      <x:c r="B134" s="59" t="str">
        <x:v>Profit Contribution 30D</x:v>
      </x:c>
      <x:c r="C134" s="57" t="n">
        <x:v>29</x:v>
      </x:c>
      <x:c r="D134" s="59" t="str">
        <x:v>30D Average Outstanding Principal</x:v>
      </x:c>
    </x:row>
    <x:row r="135" ht="15" customHeight="1">
      <x:c r="A135" s="57" t="str">
        <x:v>OLAP</x:v>
      </x:c>
      <x:c r="B135" s="59" t="str">
        <x:v>Profit Contribution 30D</x:v>
      </x:c>
      <x:c r="C135" s="57" t="n">
        <x:v>30</x:v>
      </x:c>
      <x:c r="D135" s="59" t="str">
        <x:v>30D Return on Average Principal</x:v>
      </x:c>
    </x:row>
    <x:row r="136" ht="15" customHeight="1">
      <x:c r="A136" s="57" t="str">
        <x:v>OLAP</x:v>
      </x:c>
      <x:c r="B136" s="59" t="str">
        <x:v>Profit Contribution 30D</x:v>
      </x:c>
      <x:c r="C136" s="57" t="n">
        <x:v>31</x:v>
      </x:c>
      <x:c r="D136" s="59" t="str">
        <x:v>Daily Collection Status</x:v>
      </x:c>
    </x:row>
    <x:row r="137" ht="15" customHeight="1">
      <x:c r="A137" s="57" t="str">
        <x:v>OLAP</x:v>
      </x:c>
      <x:c r="B137" s="59" t="str">
        <x:v>Profit Contribution 30D</x:v>
      </x:c>
      <x:c r="C137" s="57" t="n">
        <x:v>32</x:v>
      </x:c>
      <x:c r="D137" s="59" t="str">
        <x:v>Todays Collection Charges</x:v>
      </x:c>
    </x:row>
    <x:row r="138" ht="15" customHeight="1">
      <x:c r="A138" s="57" t="str">
        <x:v>OLAP</x:v>
      </x:c>
      <x:c r="B138" s="59" t="str">
        <x:v>Profit Contribution 30D</x:v>
      </x:c>
      <x:c r="C138" s="57" t="n">
        <x:v>33</x:v>
      </x:c>
      <x:c r="D138" s="59" t="str">
        <x:v>Todays Amount Due</x:v>
      </x:c>
    </x:row>
    <x:row r="139" ht="15" customHeight="1">
      <x:c r="A139" s="57" t="str">
        <x:v>OLAP</x:v>
      </x:c>
      <x:c r="B139" s="59" t="str">
        <x:v>Profit Contribution 30D</x:v>
      </x:c>
      <x:c r="C139" s="57" t="n">
        <x:v>34</x:v>
      </x:c>
      <x:c r="D139" s="59" t="str">
        <x:v>Todays Amount Collected</x:v>
      </x:c>
    </x:row>
    <x:row r="140" ht="15" customHeight="1">
      <x:c r="A140" s="57" t="str">
        <x:v>OLAP</x:v>
      </x:c>
      <x:c r="B140" s="59" t="str">
        <x:v>Profit Contribution 30D</x:v>
      </x:c>
      <x:c r="C140" s="57" t="n">
        <x:v>35</x:v>
      </x:c>
      <x:c r="D140" s="59" t="str">
        <x:v>Todays Amount Remaining</x:v>
      </x:c>
    </x:row>
    <x:row r="141" ht="15" customHeight="1">
      <x:c r="A141" s="57" t="str">
        <x:v>OLAP</x:v>
      </x:c>
      <x:c r="B141" s="59" t="str">
        <x:v>Profit Contribution 30D</x:v>
      </x:c>
      <x:c r="C141" s="57" t="n">
        <x:v>36</x:v>
      </x:c>
      <x:c r="D141" s="59" t="str">
        <x:v>Portfolio Exposure %</x:v>
      </x:c>
    </x:row>
    <x:row r="142" ht="15" customHeight="1">
      <x:c r="A142" s="57" t="str">
        <x:v>OLAP</x:v>
      </x:c>
      <x:c r="B142" s="59" t="str">
        <x:v>Profit Contribution 30D</x:v>
      </x:c>
      <x:c r="C142" s="57" t="n">
        <x:v>37</x:v>
      </x:c>
      <x:c r="D142" s="59" t="str">
        <x:v>Active Loan Count</x:v>
      </x:c>
    </x:row>
    <x:row r="143" ht="15" customHeight="1">
      <x:c r="A143" s="57" t="str">
        <x:v>OLAP</x:v>
      </x:c>
      <x:c r="B143" s="59" t="str">
        <x:v>Profit Contribution 30D</x:v>
      </x:c>
      <x:c r="C143" s="57" t="n">
        <x:v>38</x:v>
      </x:c>
      <x:c r="D143" s="59" t="str">
        <x:v>Oldest Active Loan Age</x:v>
      </x:c>
    </x:row>
    <x:row r="144" ht="15" customHeight="1">
      <x:c r="A144" s="57" t="str">
        <x:v>OLAP</x:v>
      </x:c>
      <x:c r="B144" s="59" t="str">
        <x:v>Profit Contribution 30D</x:v>
      </x:c>
      <x:c r="C144" s="57" t="n">
        <x:v>39</x:v>
      </x:c>
      <x:c r="D144" s="59" t="str">
        <x:v>Overdue Amount</x:v>
      </x:c>
    </x:row>
    <x:row r="145" ht="15" customHeight="1">
      <x:c r="A145" s="57" t="str">
        <x:v>OLAP</x:v>
      </x:c>
      <x:c r="B145" s="59" t="str">
        <x:v>Profit Contribution 30D</x:v>
      </x:c>
      <x:c r="C145" s="57" t="n">
        <x:v>40</x:v>
      </x:c>
      <x:c r="D145" s="59" t="str">
        <x:v>Overdue Charge Count</x:v>
      </x:c>
    </x:row>
    <x:row r="146" ht="15" customHeight="1">
      <x:c r="A146" s="57" t="str">
        <x:v>OLAP</x:v>
      </x:c>
      <x:c r="B146" s="59" t="str">
        <x:v>Profit Contribution 30D</x:v>
      </x:c>
      <x:c r="C146" s="57" t="n">
        <x:v>41</x:v>
      </x:c>
      <x:c r="D146" s="59" t="str">
        <x:v>Historical Charge Count</x:v>
      </x:c>
    </x:row>
    <x:row r="147" ht="15" customHeight="1">
      <x:c r="A147" s="57" t="str">
        <x:v>OLAP</x:v>
      </x:c>
      <x:c r="B147" s="59" t="str">
        <x:v>Profit Contribution 30D</x:v>
      </x:c>
      <x:c r="C147" s="57" t="n">
        <x:v>42</x:v>
      </x:c>
      <x:c r="D147" s="59" t="str">
        <x:v>On Time Charge Count</x:v>
      </x:c>
    </x:row>
    <x:row r="148" ht="15" customHeight="1">
      <x:c r="A148" s="57" t="str">
        <x:v>OLAP</x:v>
      </x:c>
      <x:c r="B148" s="59" t="str">
        <x:v>Profit Contribution 30D</x:v>
      </x:c>
      <x:c r="C148" s="57" t="n">
        <x:v>43</x:v>
      </x:c>
      <x:c r="D148" s="59" t="str">
        <x:v>Lifetime On Time Rate</x:v>
      </x:c>
    </x:row>
    <x:row r="149" ht="15" customHeight="1">
      <x:c r="A149" s="57" t="str">
        <x:v>OLAP</x:v>
      </x:c>
      <x:c r="B149" s="59" t="str">
        <x:v>Profit Contribution 30D</x:v>
      </x:c>
      <x:c r="C149" s="57" t="n">
        <x:v>44</x:v>
      </x:c>
      <x:c r="D149" s="59" t="str">
        <x:v>Recent 30D Charge Count</x:v>
      </x:c>
    </x:row>
    <x:row r="150" ht="15" customHeight="1">
      <x:c r="A150" s="57" t="str">
        <x:v>OLAP</x:v>
      </x:c>
      <x:c r="B150" s="59" t="str">
        <x:v>Profit Contribution 30D</x:v>
      </x:c>
      <x:c r="C150" s="57" t="n">
        <x:v>45</x:v>
      </x:c>
      <x:c r="D150" s="59" t="str">
        <x:v>Recent 30D On Time Count</x:v>
      </x:c>
    </x:row>
    <x:row r="151" ht="15" customHeight="1">
      <x:c r="A151" s="57" t="str">
        <x:v>OLAP</x:v>
      </x:c>
      <x:c r="B151" s="59" t="str">
        <x:v>Profit Contribution 30D</x:v>
      </x:c>
      <x:c r="C151" s="57" t="n">
        <x:v>46</x:v>
      </x:c>
      <x:c r="D151" s="59" t="str">
        <x:v>Recent 30D On Time Rate</x:v>
      </x:c>
    </x:row>
    <x:row r="152" ht="15" customHeight="1">
      <x:c r="A152" s="57" t="str">
        <x:v>OLAP</x:v>
      </x:c>
      <x:c r="B152" s="59" t="str">
        <x:v>Profit Contribution 30D</x:v>
      </x:c>
      <x:c r="C152" s="57" t="n">
        <x:v>47</x:v>
      </x:c>
      <x:c r="D152" s="59" t="str">
        <x:v>Lifetime Late Payment Count</x:v>
      </x:c>
    </x:row>
    <x:row r="153" ht="15" customHeight="1">
      <x:c r="A153" s="57" t="str">
        <x:v>OLAP</x:v>
      </x:c>
      <x:c r="B153" s="59" t="str">
        <x:v>Profit Contribution 30D</x:v>
      </x:c>
      <x:c r="C153" s="57" t="n">
        <x:v>48</x:v>
      </x:c>
      <x:c r="D153" s="59" t="str">
        <x:v>Recent 30D Late Payment Count</x:v>
      </x:c>
    </x:row>
    <x:row r="154" ht="15" customHeight="1">
      <x:c r="A154" s="57" t="str">
        <x:v>OLAP</x:v>
      </x:c>
      <x:c r="B154" s="59" t="str">
        <x:v>Profit Contribution 30D</x:v>
      </x:c>
      <x:c r="C154" s="57" t="n">
        <x:v>49</x:v>
      </x:c>
      <x:c r="D154" s="59" t="str">
        <x:v>Maximum Days Late</x:v>
      </x:c>
    </x:row>
    <x:row r="155" ht="15" customHeight="1">
      <x:c r="A155" s="57" t="str">
        <x:v>OLAP</x:v>
      </x:c>
      <x:c r="B155" s="59" t="str">
        <x:v>Profit Contribution 30D</x:v>
      </x:c>
      <x:c r="C155" s="57" t="n">
        <x:v>50</x:v>
      </x:c>
      <x:c r="D155" s="59" t="str">
        <x:v>Last Late Payment Date</x:v>
      </x:c>
    </x:row>
    <x:row r="156" ht="15" customHeight="1">
      <x:c r="A156" s="57" t="str">
        <x:v>OLAP</x:v>
      </x:c>
      <x:c r="B156" s="59" t="str">
        <x:v>Profit Contribution 30D</x:v>
      </x:c>
      <x:c r="C156" s="57" t="n">
        <x:v>51</x:v>
      </x:c>
      <x:c r="D156" s="59" t="str">
        <x:v>Largest Successful Loan</x:v>
      </x:c>
    </x:row>
    <x:row r="157" ht="15" customHeight="1">
      <x:c r="A157" s="57" t="str">
        <x:v>OLAP</x:v>
      </x:c>
      <x:c r="B157" s="59" t="str">
        <x:v>Profit Contribution 30D</x:v>
      </x:c>
      <x:c r="C157" s="57" t="n">
        <x:v>52</x:v>
      </x:c>
      <x:c r="D157" s="59" t="str">
        <x:v>Average Successful Loan Size</x:v>
      </x:c>
    </x:row>
    <x:row r="158" ht="15" customHeight="1">
      <x:c r="A158" s="57" t="str">
        <x:v>OLAP</x:v>
      </x:c>
      <x:c r="B158" s="59" t="str">
        <x:v>Profit Contribution 30D</x:v>
      </x:c>
      <x:c r="C158" s="57" t="n">
        <x:v>53</x:v>
      </x:c>
      <x:c r="D158" s="59" t="str">
        <x:v>Default Count</x:v>
      </x:c>
    </x:row>
    <x:row r="159" ht="15" customHeight="1">
      <x:c r="A159" s="57" t="str">
        <x:v>OLAP</x:v>
      </x:c>
      <x:c r="B159" s="59" t="str">
        <x:v>Profit Contribution 30D</x:v>
      </x:c>
      <x:c r="C159" s="57" t="n">
        <x:v>54</x:v>
      </x:c>
      <x:c r="D159" s="59" t="str">
        <x:v>Lifetime Default Loss</x:v>
      </x:c>
    </x:row>
    <x:row r="160" ht="15" customHeight="1">
      <x:c r="A160" s="57" t="str">
        <x:v>OLAP</x:v>
      </x:c>
      <x:c r="B160" s="59" t="str">
        <x:v>Profit Contribution 30D</x:v>
      </x:c>
      <x:c r="C160" s="57" t="n">
        <x:v>55</x:v>
      </x:c>
      <x:c r="D160" s="59" t="str">
        <x:v>Portfolio Outstanding Principal</x:v>
      </x:c>
    </x:row>
    <x:row r="161" ht="15" customHeight="1">
      <x:c r="A161" s="57" t="str">
        <x:v>OLAP</x:v>
      </x:c>
      <x:c r="B161" s="59" t="str">
        <x:v>Profit Contribution 30D</x:v>
      </x:c>
      <x:c r="C161" s="57" t="n">
        <x:v>56</x:v>
      </x:c>
      <x:c r="D161" s="59" t="str">
        <x:v>Portfolio Share Join Key</x:v>
      </x:c>
    </x:row>
    <x:row r="162" ht="15" customHeight="1">
      <x:c r="A162" s="57" t="str">
        <x:v>OLAP</x:v>
      </x:c>
      <x:c r="B162" s="59" t="str">
        <x:v>Reporting Borrowers</x:v>
      </x:c>
      <x:c r="C162" s="57" t="n">
        <x:v>1</x:v>
      </x:c>
      <x:c r="D162" s="59" t="str">
        <x:v>_RowNumber</x:v>
      </x:c>
    </x:row>
    <x:row r="163" ht="15" customHeight="1">
      <x:c r="A163" s="57" t="str">
        <x:v>OLAP</x:v>
      </x:c>
      <x:c r="B163" s="59" t="str">
        <x:v>Reporting Borrowers</x:v>
      </x:c>
      <x:c r="C163" s="57" t="n">
        <x:v>2</x:v>
      </x:c>
      <x:c r="D163" s="59" t="str">
        <x:v>Row ID</x:v>
      </x:c>
    </x:row>
    <x:row r="164" ht="15" customHeight="1">
      <x:c r="A164" s="57" t="str">
        <x:v>OLAP</x:v>
      </x:c>
      <x:c r="B164" s="59" t="str">
        <x:v>Reporting Borrowers</x:v>
      </x:c>
      <x:c r="C164" s="57" t="n">
        <x:v>3</x:v>
      </x:c>
      <x:c r="D164" s="59" t="str">
        <x:v>Borrower Name</x:v>
      </x:c>
    </x:row>
    <x:row r="165" ht="15" customHeight="1">
      <x:c r="A165" s="57" t="str">
        <x:v>OLAP</x:v>
      </x:c>
      <x:c r="B165" s="59" t="str">
        <x:v>Reporting Borrowers</x:v>
      </x:c>
      <x:c r="C165" s="57" t="n">
        <x:v>4</x:v>
      </x:c>
      <x:c r="D165" s="59" t="str">
        <x:v>Borrower Name TE</x:v>
      </x:c>
    </x:row>
    <x:row r="166" ht="15" customHeight="1">
      <x:c r="A166" s="57" t="str">
        <x:v>OLAP</x:v>
      </x:c>
      <x:c r="B166" s="59" t="str">
        <x:v>Reporting Borrowers</x:v>
      </x:c>
      <x:c r="C166" s="57" t="n">
        <x:v>5</x:v>
      </x:c>
      <x:c r="D166" s="59" t="str">
        <x:v>Description</x:v>
      </x:c>
    </x:row>
    <x:row r="167" ht="15" customHeight="1">
      <x:c r="A167" s="57" t="str">
        <x:v>OLAP</x:v>
      </x:c>
      <x:c r="B167" s="59" t="str">
        <x:v>Reporting Borrowers</x:v>
      </x:c>
      <x:c r="C167" s="57" t="n">
        <x:v>6</x:v>
      </x:c>
      <x:c r="D167" s="59" t="str">
        <x:v>Total Interest Earned</x:v>
      </x:c>
    </x:row>
    <x:row r="168" ht="15" customHeight="1">
      <x:c r="A168" s="57" t="str">
        <x:v>OLAP</x:v>
      </x:c>
      <x:c r="B168" s="59" t="str">
        <x:v>Reporting Borrowers</x:v>
      </x:c>
      <x:c r="C168" s="57" t="n">
        <x:v>7</x:v>
      </x:c>
      <x:c r="D168" s="59" t="str">
        <x:v>Total Amount Loaned</x:v>
      </x:c>
    </x:row>
    <x:row r="169" ht="15" customHeight="1">
      <x:c r="A169" s="57" t="str">
        <x:v>OLAP</x:v>
      </x:c>
      <x:c r="B169" s="59" t="str">
        <x:v>Reporting Borrowers</x:v>
      </x:c>
      <x:c r="C169" s="57" t="n">
        <x:v>8</x:v>
      </x:c>
      <x:c r="D169" s="59" t="str">
        <x:v>Total Number of Loans</x:v>
      </x:c>
    </x:row>
    <x:row r="170" ht="15" customHeight="1">
      <x:c r="A170" s="57" t="str">
        <x:v>OLAP</x:v>
      </x:c>
      <x:c r="B170" s="59" t="str">
        <x:v>Reporting Borrowers</x:v>
      </x:c>
      <x:c r="C170" s="57" t="n">
        <x:v>9</x:v>
      </x:c>
      <x:c r="D170" s="59" t="str">
        <x:v>Total Outstanding Principal</x:v>
      </x:c>
    </x:row>
    <x:row r="171" ht="15" customHeight="1">
      <x:c r="A171" s="57" t="str">
        <x:v>OLAP</x:v>
      </x:c>
      <x:c r="B171" s="59" t="str">
        <x:v>Reporting Borrowers</x:v>
      </x:c>
      <x:c r="C171" s="57" t="n">
        <x:v>10</x:v>
      </x:c>
      <x:c r="D171" s="59" t="str">
        <x:v>Daily Collection Status</x:v>
      </x:c>
    </x:row>
    <x:row r="172" ht="15" customHeight="1">
      <x:c r="A172" s="57" t="str">
        <x:v>OLAP</x:v>
      </x:c>
      <x:c r="B172" s="59" t="str">
        <x:v>Reporting Borrowers</x:v>
      </x:c>
      <x:c r="C172" s="57" t="n">
        <x:v>11</x:v>
      </x:c>
      <x:c r="D172" s="59" t="str">
        <x:v>Todays Amount Due</x:v>
      </x:c>
    </x:row>
    <x:row r="173" ht="15" customHeight="1">
      <x:c r="A173" s="57" t="str">
        <x:v>OLAP</x:v>
      </x:c>
      <x:c r="B173" s="59" t="str">
        <x:v>Reporting Borrowers</x:v>
      </x:c>
      <x:c r="C173" s="57" t="n">
        <x:v>12</x:v>
      </x:c>
      <x:c r="D173" s="59" t="str">
        <x:v>Todays Amount Collected</x:v>
      </x:c>
    </x:row>
    <x:row r="174" ht="15" customHeight="1">
      <x:c r="A174" s="57" t="str">
        <x:v>OLAP</x:v>
      </x:c>
      <x:c r="B174" s="59" t="str">
        <x:v>Reporting Borrowers</x:v>
      </x:c>
      <x:c r="C174" s="57" t="n">
        <x:v>13</x:v>
      </x:c>
      <x:c r="D174" s="59" t="str">
        <x:v>Todays Amount Remaining</x:v>
      </x:c>
    </x:row>
    <x:row r="175" ht="15" customHeight="1">
      <x:c r="A175" s="57" t="str">
        <x:v>OLAP</x:v>
      </x:c>
      <x:c r="B175" s="59" t="str">
        <x:v>Reporting Borrowers</x:v>
      </x:c>
      <x:c r="C175" s="57" t="n">
        <x:v>14</x:v>
      </x:c>
      <x:c r="D175" s="59" t="str">
        <x:v>30D Return on Average Principal</x:v>
      </x:c>
    </x:row>
    <x:row r="176" ht="15" customHeight="1">
      <x:c r="A176" s="57" t="str">
        <x:v>OLAP</x:v>
      </x:c>
      <x:c r="B176" s="59" t="str">
        <x:v>Reporting Borrowers</x:v>
      </x:c>
      <x:c r="C176" s="57" t="n">
        <x:v>15</x:v>
      </x:c>
      <x:c r="D176" s="59" t="str">
        <x:v>Return on Active Principal</x:v>
      </x:c>
    </x:row>
    <x:row r="177" ht="15" customHeight="1">
      <x:c r="A177" s="57" t="str">
        <x:v>OLAP</x:v>
      </x:c>
      <x:c r="B177" s="59" t="str">
        <x:v>Reporting Borrowers</x:v>
      </x:c>
      <x:c r="C177" s="57" t="n">
        <x:v>16</x:v>
      </x:c>
      <x:c r="D177" s="59" t="str">
        <x:v>30D Average Outstanding Principal</x:v>
      </x:c>
    </x:row>
    <x:row r="178" ht="15" customHeight="1">
      <x:c r="A178" s="57" t="str">
        <x:v>OLAP</x:v>
      </x:c>
      <x:c r="B178" s="59" t="str">
        <x:v>Reporting Borrowers</x:v>
      </x:c>
      <x:c r="C178" s="57" t="n">
        <x:v>17</x:v>
      </x:c>
      <x:c r="D178" s="59" t="str">
        <x:v>Profit Last 30 Days</x:v>
      </x:c>
    </x:row>
    <x:row r="179" ht="15" customHeight="1">
      <x:c r="A179" s="57" t="str">
        <x:v>OLAP</x:v>
      </x:c>
      <x:c r="B179" s="59" t="str">
        <x:v>Reporting Borrowers</x:v>
      </x:c>
      <x:c r="C179" s="57" t="n">
        <x:v>18</x:v>
      </x:c>
      <x:c r="D179" s="59" t="str">
        <x:v>Has Active Loan</x:v>
      </x:c>
    </x:row>
    <x:row r="180" ht="15" customHeight="1">
      <x:c r="A180" s="57" t="str">
        <x:v>OLAP</x:v>
      </x:c>
      <x:c r="B180" s="59" t="str">
        <x:v>Reporting Borrowers</x:v>
      </x:c>
      <x:c r="C180" s="57" t="n">
        <x:v>19</x:v>
      </x:c>
      <x:c r="D180" s="59" t="str">
        <x:v>Has Closed Loan</x:v>
      </x:c>
    </x:row>
    <x:row r="181" ht="15" customHeight="1">
      <x:c r="A181" s="57" t="str">
        <x:v>OLAP</x:v>
      </x:c>
      <x:c r="B181" s="59" t="str">
        <x:v>Reporting Borrowers</x:v>
      </x:c>
      <x:c r="C181" s="57" t="n">
        <x:v>20</x:v>
      </x:c>
      <x:c r="D181" s="59" t="str">
        <x:v>Overdue Amount</x:v>
      </x:c>
    </x:row>
    <x:row r="182" ht="15" customHeight="1">
      <x:c r="A182" s="57" t="str">
        <x:v>OLAP</x:v>
      </x:c>
      <x:c r="B182" s="59" t="str">
        <x:v>Reporting Borrowers</x:v>
      </x:c>
      <x:c r="C182" s="57" t="n">
        <x:v>21</x:v>
      </x:c>
      <x:c r="D182" s="59" t="str">
        <x:v>Overdue Charge Count</x:v>
      </x:c>
    </x:row>
    <x:row r="183" ht="15" customHeight="1">
      <x:c r="A183" s="57" t="str">
        <x:v>OLAP</x:v>
      </x:c>
      <x:c r="B183" s="59" t="str">
        <x:v>Reporting Borrowers</x:v>
      </x:c>
      <x:c r="C183" s="57" t="n">
        <x:v>22</x:v>
      </x:c>
      <x:c r="D183" s="59" t="str">
        <x:v>Oldest Active Loan Age</x:v>
      </x:c>
    </x:row>
    <x:row r="184" ht="15" customHeight="1">
      <x:c r="A184" s="57" t="str">
        <x:v>OLAP</x:v>
      </x:c>
      <x:c r="B184" s="59" t="str">
        <x:v>Reporting Borrowers</x:v>
      </x:c>
      <x:c r="C184" s="57" t="n">
        <x:v>23</x:v>
      </x:c>
      <x:c r="D184" s="59" t="str">
        <x:v>Active Loan Count</x:v>
      </x:c>
    </x:row>
    <x:row r="185" ht="15" customHeight="1">
      <x:c r="A185" s="57" t="str">
        <x:v>OLAP</x:v>
      </x:c>
      <x:c r="B185" s="59" t="str">
        <x:v>Reporting Borrowers</x:v>
      </x:c>
      <x:c r="C185" s="57" t="n">
        <x:v>24</x:v>
      </x:c>
      <x:c r="D185" s="59" t="str">
        <x:v>Portfolio Exposure %</x:v>
      </x:c>
    </x:row>
    <x:row r="186" ht="15" customHeight="1">
      <x:c r="A186" s="57" t="str">
        <x:v>OLAP</x:v>
      </x:c>
      <x:c r="B186" s="59" t="str">
        <x:v>Reporting Borrowers</x:v>
      </x:c>
      <x:c r="C186" s="57" t="n">
        <x:v>25</x:v>
      </x:c>
      <x:c r="D186" s="59" t="str">
        <x:v>Historical Charge Count</x:v>
      </x:c>
    </x:row>
    <x:row r="187" ht="15" customHeight="1">
      <x:c r="A187" s="57" t="str">
        <x:v>OLAP</x:v>
      </x:c>
      <x:c r="B187" s="59" t="str">
        <x:v>Reporting Borrowers</x:v>
      </x:c>
      <x:c r="C187" s="57" t="n">
        <x:v>26</x:v>
      </x:c>
      <x:c r="D187" s="59" t="str">
        <x:v>On Time Charge Count</x:v>
      </x:c>
    </x:row>
    <x:row r="188" ht="15" customHeight="1">
      <x:c r="A188" s="57" t="str">
        <x:v>OLAP</x:v>
      </x:c>
      <x:c r="B188" s="59" t="str">
        <x:v>Reporting Borrowers</x:v>
      </x:c>
      <x:c r="C188" s="57" t="n">
        <x:v>27</x:v>
      </x:c>
      <x:c r="D188" s="59" t="str">
        <x:v>Lifetime On Time Rate</x:v>
      </x:c>
    </x:row>
    <x:row r="189" ht="15" customHeight="1">
      <x:c r="A189" s="57" t="str">
        <x:v>OLAP</x:v>
      </x:c>
      <x:c r="B189" s="59" t="str">
        <x:v>Reporting Borrowers</x:v>
      </x:c>
      <x:c r="C189" s="57" t="n">
        <x:v>28</x:v>
      </x:c>
      <x:c r="D189" s="59" t="str">
        <x:v>Recent 30D Charge Count</x:v>
      </x:c>
    </x:row>
    <x:row r="190" ht="15" customHeight="1">
      <x:c r="A190" s="57" t="str">
        <x:v>OLAP</x:v>
      </x:c>
      <x:c r="B190" s="59" t="str">
        <x:v>Reporting Borrowers</x:v>
      </x:c>
      <x:c r="C190" s="57" t="n">
        <x:v>29</x:v>
      </x:c>
      <x:c r="D190" s="59" t="str">
        <x:v>Recent 30D On Time Count</x:v>
      </x:c>
    </x:row>
    <x:row r="191" ht="15" customHeight="1">
      <x:c r="A191" s="57" t="str">
        <x:v>OLAP</x:v>
      </x:c>
      <x:c r="B191" s="59" t="str">
        <x:v>Reporting Borrowers</x:v>
      </x:c>
      <x:c r="C191" s="57" t="n">
        <x:v>30</x:v>
      </x:c>
      <x:c r="D191" s="59" t="str">
        <x:v>Recent 30D On Time Rate</x:v>
      </x:c>
    </x:row>
    <x:row r="192" ht="15" customHeight="1">
      <x:c r="A192" s="57" t="str">
        <x:v>OLAP</x:v>
      </x:c>
      <x:c r="B192" s="59" t="str">
        <x:v>Reporting Borrowers</x:v>
      </x:c>
      <x:c r="C192" s="57" t="n">
        <x:v>31</x:v>
      </x:c>
      <x:c r="D192" s="59" t="str">
        <x:v>Lifetime Late Payment Count</x:v>
      </x:c>
    </x:row>
    <x:row r="193" ht="15" customHeight="1">
      <x:c r="A193" s="57" t="str">
        <x:v>OLAP</x:v>
      </x:c>
      <x:c r="B193" s="59" t="str">
        <x:v>Reporting Borrowers</x:v>
      </x:c>
      <x:c r="C193" s="57" t="n">
        <x:v>32</x:v>
      </x:c>
      <x:c r="D193" s="59" t="str">
        <x:v>Recent 30D Late Payment Count</x:v>
      </x:c>
    </x:row>
    <x:row r="194" ht="15" customHeight="1">
      <x:c r="A194" s="57" t="str">
        <x:v>OLAP</x:v>
      </x:c>
      <x:c r="B194" s="59" t="str">
        <x:v>Reporting Borrowers</x:v>
      </x:c>
      <x:c r="C194" s="57" t="n">
        <x:v>33</x:v>
      </x:c>
      <x:c r="D194" s="59" t="str">
        <x:v>Maximum Days Late</x:v>
      </x:c>
    </x:row>
    <x:row r="195" ht="15" customHeight="1">
      <x:c r="A195" s="57" t="str">
        <x:v>OLAP</x:v>
      </x:c>
      <x:c r="B195" s="59" t="str">
        <x:v>Reporting Borrowers</x:v>
      </x:c>
      <x:c r="C195" s="57" t="n">
        <x:v>34</x:v>
      </x:c>
      <x:c r="D195" s="59" t="str">
        <x:v>Last Late Payment Date</x:v>
      </x:c>
    </x:row>
    <x:row r="196" ht="15" customHeight="1">
      <x:c r="A196" s="57" t="str">
        <x:v>OLAP</x:v>
      </x:c>
      <x:c r="B196" s="59" t="str">
        <x:v>Reporting Borrowers</x:v>
      </x:c>
      <x:c r="C196" s="57" t="n">
        <x:v>35</x:v>
      </x:c>
      <x:c r="D196" s="59" t="str">
        <x:v>Largest Successful Loan</x:v>
      </x:c>
    </x:row>
    <x:row r="197" ht="15" customHeight="1">
      <x:c r="A197" s="57" t="str">
        <x:v>OLAP</x:v>
      </x:c>
      <x:c r="B197" s="59" t="str">
        <x:v>Reporting Borrowers</x:v>
      </x:c>
      <x:c r="C197" s="57" t="n">
        <x:v>36</x:v>
      </x:c>
      <x:c r="D197" s="59" t="str">
        <x:v>Average Successful Loan Size</x:v>
      </x:c>
    </x:row>
    <x:row r="198" ht="15" customHeight="1">
      <x:c r="A198" s="57" t="str">
        <x:v>OLAP</x:v>
      </x:c>
      <x:c r="B198" s="59" t="str">
        <x:v>Reporting Borrowers</x:v>
      </x:c>
      <x:c r="C198" s="57" t="n">
        <x:v>37</x:v>
      </x:c>
      <x:c r="D198" s="59" t="str">
        <x:v>Default Count</x:v>
      </x:c>
    </x:row>
    <x:row r="199" ht="15" customHeight="1">
      <x:c r="A199" s="57" t="str">
        <x:v>OLAP</x:v>
      </x:c>
      <x:c r="B199" s="59" t="str">
        <x:v>Reporting Borrowers</x:v>
      </x:c>
      <x:c r="C199" s="57" t="n">
        <x:v>38</x:v>
      </x:c>
      <x:c r="D199" s="59" t="str">
        <x:v>Lifetime Default Loss</x:v>
      </x:c>
    </x:row>
    <x:row r="200" ht="15" customHeight="1">
      <x:c r="A200" s="57" t="str">
        <x:v>OLAP</x:v>
      </x:c>
      <x:c r="B200" s="59" t="str">
        <x:v>Reporting Borrowers</x:v>
      </x:c>
      <x:c r="C200" s="57" t="n">
        <x:v>39</x:v>
      </x:c>
      <x:c r="D200" s="59" t="str">
        <x:v>Portfolio Outstanding Principal</x:v>
      </x:c>
    </x:row>
    <x:row r="201" ht="15" customHeight="1">
      <x:c r="A201" s="57" t="str">
        <x:v>OLAP</x:v>
      </x:c>
      <x:c r="B201" s="59" t="str">
        <x:v>Reporting Borrowers</x:v>
      </x:c>
      <x:c r="C201" s="57" t="n">
        <x:v>40</x:v>
      </x:c>
      <x:c r="D201" s="59" t="str">
        <x:v>Portfolio Share Join Key</x:v>
      </x:c>
    </x:row>
    <x:row r="202" ht="15" customHeight="1">
      <x:c r="A202" s="57" t="str">
        <x:v>OLAP</x:v>
      </x:c>
      <x:c r="B202" s="59" t="str">
        <x:v>Reporting Charges</x:v>
      </x:c>
      <x:c r="C202" s="57" t="n">
        <x:v>1</x:v>
      </x:c>
      <x:c r="D202" s="59" t="str">
        <x:v>_RowNumber</x:v>
      </x:c>
    </x:row>
    <x:row r="203" ht="15" customHeight="1">
      <x:c r="A203" s="57" t="str">
        <x:v>OLAP</x:v>
      </x:c>
      <x:c r="B203" s="59" t="str">
        <x:v>Reporting Charges</x:v>
      </x:c>
      <x:c r="C203" s="57" t="n">
        <x:v>2</x:v>
      </x:c>
      <x:c r="D203" s="59" t="str">
        <x:v>Row ID</x:v>
      </x:c>
    </x:row>
    <x:row r="204" ht="15" customHeight="1">
      <x:c r="A204" s="57" t="str">
        <x:v>OLAP</x:v>
      </x:c>
      <x:c r="B204" s="59" t="str">
        <x:v>Reporting Charges</x:v>
      </x:c>
      <x:c r="C204" s="57" t="n">
        <x:v>3</x:v>
      </x:c>
      <x:c r="D204" s="59" t="str">
        <x:v>Ref Loans</x:v>
      </x:c>
    </x:row>
    <x:row r="205" ht="15" customHeight="1">
      <x:c r="A205" s="57" t="str">
        <x:v>OLAP</x:v>
      </x:c>
      <x:c r="B205" s="59" t="str">
        <x:v>Reporting Charges</x:v>
      </x:c>
      <x:c r="C205" s="57" t="n">
        <x:v>4</x:v>
      </x:c>
      <x:c r="D205" s="59" t="str">
        <x:v>Charge Date</x:v>
      </x:c>
    </x:row>
    <x:row r="206" ht="15" customHeight="1">
      <x:c r="A206" s="57" t="str">
        <x:v>OLAP</x:v>
      </x:c>
      <x:c r="B206" s="59" t="str">
        <x:v>Reporting Charges</x:v>
      </x:c>
      <x:c r="C206" s="57" t="n">
        <x:v>5</x:v>
      </x:c>
      <x:c r="D206" s="59" t="str">
        <x:v>Interest Due</x:v>
      </x:c>
    </x:row>
    <x:row r="207" ht="15" customHeight="1">
      <x:c r="A207" s="57" t="str">
        <x:v>OLAP</x:v>
      </x:c>
      <x:c r="B207" s="59" t="str">
        <x:v>Reporting Charges</x:v>
      </x:c>
      <x:c r="C207" s="57" t="n">
        <x:v>6</x:v>
      </x:c>
      <x:c r="D207" s="59" t="str">
        <x:v>Principal Due</x:v>
      </x:c>
    </x:row>
    <x:row r="208" ht="15" customHeight="1">
      <x:c r="A208" s="57" t="str">
        <x:v>OLAP</x:v>
      </x:c>
      <x:c r="B208" s="59" t="str">
        <x:v>Reporting Charges</x:v>
      </x:c>
      <x:c r="C208" s="57" t="n">
        <x:v>7</x:v>
      </x:c>
      <x:c r="D208" s="59" t="str">
        <x:v>Amount Due</x:v>
      </x:c>
    </x:row>
    <x:row r="209" ht="15" customHeight="1">
      <x:c r="A209" s="57" t="str">
        <x:v>OLAP</x:v>
      </x:c>
      <x:c r="B209" s="59" t="str">
        <x:v>Reporting Charges</x:v>
      </x:c>
      <x:c r="C209" s="57" t="n">
        <x:v>8</x:v>
      </x:c>
      <x:c r="D209" s="59" t="str">
        <x:v>Payment Date</x:v>
      </x:c>
    </x:row>
    <x:row r="210" ht="15" customHeight="1">
      <x:c r="A210" s="57" t="str">
        <x:v>OLAP</x:v>
      </x:c>
      <x:c r="B210" s="59" t="str">
        <x:v>Reporting Charges</x:v>
      </x:c>
      <x:c r="C210" s="57" t="n">
        <x:v>9</x:v>
      </x:c>
      <x:c r="D210" s="59" t="str">
        <x:v>Payment Status TE</x:v>
      </x:c>
    </x:row>
    <x:row r="211" ht="15" customHeight="1">
      <x:c r="A211" s="57" t="str">
        <x:v>OLAP</x:v>
      </x:c>
      <x:c r="B211" s="59" t="str">
        <x:v>Reporting Charges</x:v>
      </x:c>
      <x:c r="C211" s="57" t="n">
        <x:v>10</x:v>
      </x:c>
      <x:c r="D211" s="59" t="str">
        <x:v>Principal Paid</x:v>
      </x:c>
    </x:row>
    <x:row r="212" ht="15" customHeight="1">
      <x:c r="A212" s="57" t="str">
        <x:v>OLAP</x:v>
      </x:c>
      <x:c r="B212" s="59" t="str">
        <x:v>Reporting Charges</x:v>
      </x:c>
      <x:c r="C212" s="57" t="n">
        <x:v>11</x:v>
      </x:c>
      <x:c r="D212" s="59" t="str">
        <x:v>Interest Paid</x:v>
      </x:c>
    </x:row>
    <x:row r="213" ht="15" customHeight="1">
      <x:c r="A213" s="57" t="str">
        <x:v>OLAP</x:v>
      </x:c>
      <x:c r="B213" s="59" t="str">
        <x:v>Reporting Charges</x:v>
      </x:c>
      <x:c r="C213" s="57" t="n">
        <x:v>12</x:v>
      </x:c>
      <x:c r="D213" s="59" t="str">
        <x:v>Total Paid</x:v>
      </x:c>
    </x:row>
    <x:row r="214" ht="15" customHeight="1">
      <x:c r="A214" s="57" t="str">
        <x:v>OLAP</x:v>
      </x:c>
      <x:c r="B214" s="59" t="str">
        <x:v>Reporting Charges</x:v>
      </x:c>
      <x:c r="C214" s="57" t="n">
        <x:v>13</x:v>
      </x:c>
      <x:c r="D214" s="59" t="str">
        <x:v>Principal Remaining</x:v>
      </x:c>
    </x:row>
    <x:row r="215" ht="15" customHeight="1">
      <x:c r="A215" s="57" t="str">
        <x:v>OLAP</x:v>
      </x:c>
      <x:c r="B215" s="59" t="str">
        <x:v>Reporting Charges</x:v>
      </x:c>
      <x:c r="C215" s="57" t="n">
        <x:v>14</x:v>
      </x:c>
      <x:c r="D215" s="59" t="str">
        <x:v>Interest Remaining</x:v>
      </x:c>
    </x:row>
    <x:row r="216" ht="15" customHeight="1">
      <x:c r="A216" s="57" t="str">
        <x:v>OLAP</x:v>
      </x:c>
      <x:c r="B216" s="59" t="str">
        <x:v>Reporting Charges</x:v>
      </x:c>
      <x:c r="C216" s="57" t="n">
        <x:v>15</x:v>
      </x:c>
      <x:c r="D216" s="59" t="str">
        <x:v>Amount Remaining</x:v>
      </x:c>
    </x:row>
    <x:row r="217" ht="15" customHeight="1">
      <x:c r="A217" s="57" t="str">
        <x:v>OLAP</x:v>
      </x:c>
      <x:c r="B217" s="59" t="str">
        <x:v>Reporting Charges</x:v>
      </x:c>
      <x:c r="C217" s="57" t="n">
        <x:v>16</x:v>
      </x:c>
      <x:c r="D217" s="59" t="str">
        <x:v>Payment Status</x:v>
      </x:c>
    </x:row>
    <x:row r="218" ht="15" customHeight="1">
      <x:c r="A218" s="57" t="str">
        <x:v>OLAP</x:v>
      </x:c>
      <x:c r="B218" s="59" t="str">
        <x:v>Reporting Charges</x:v>
      </x:c>
      <x:c r="C218" s="57" t="n">
        <x:v>17</x:v>
      </x:c>
      <x:c r="D218" s="59" t="str">
        <x:v>Days Late</x:v>
      </x:c>
    </x:row>
    <x:row r="219" ht="15" customHeight="1">
      <x:c r="A219" s="57" t="str">
        <x:v>OLAP</x:v>
      </x:c>
      <x:c r="B219" s="59" t="str">
        <x:v>Reporting Charges</x:v>
      </x:c>
      <x:c r="C219" s="57" t="n">
        <x:v>18</x:v>
      </x:c>
      <x:c r="D219" s="59" t="str">
        <x:v>Historical On Time</x:v>
      </x:c>
    </x:row>
    <x:row r="220" ht="15" customHeight="1">
      <x:c r="A220" s="57" t="str">
        <x:v>OLAP</x:v>
      </x:c>
      <x:c r="B220" s="59" t="str">
        <x:v>Reporting Charges</x:v>
      </x:c>
      <x:c r="C220" s="57" t="n">
        <x:v>19</x:v>
      </x:c>
      <x:c r="D220" s="59" t="str">
        <x:v>Historical Late</x:v>
      </x:c>
    </x:row>
    <x:row r="221" ht="15" customHeight="1">
      <x:c r="A221" s="57" t="str">
        <x:v>OLAP</x:v>
      </x:c>
      <x:c r="B221" s="59" t="str">
        <x:v>Reporting Charges</x:v>
      </x:c>
      <x:c r="C221" s="57" t="n">
        <x:v>20</x:v>
      </x:c>
      <x:c r="D221" s="59" t="str">
        <x:v>Borrower Name</x:v>
      </x:c>
    </x:row>
    <x:row r="222" ht="15" customHeight="1">
      <x:c r="A222" s="57" t="str">
        <x:v>OLAP</x:v>
      </x:c>
      <x:c r="B222" s="59" t="str">
        <x:v>Daily Analytics 7 Days</x:v>
      </x:c>
      <x:c r="C222" s="57" t="n">
        <x:v>1</x:v>
      </x:c>
      <x:c r="D222" s="59" t="str">
        <x:v>_RowNumber</x:v>
      </x:c>
    </x:row>
    <x:row r="223" ht="15" customHeight="1">
      <x:c r="A223" s="57" t="str">
        <x:v>OLAP</x:v>
      </x:c>
      <x:c r="B223" s="59" t="str">
        <x:v>Daily Analytics 7 Days</x:v>
      </x:c>
      <x:c r="C223" s="57" t="n">
        <x:v>2</x:v>
      </x:c>
      <x:c r="D223" s="59" t="str">
        <x:v>Row ID</x:v>
      </x:c>
    </x:row>
    <x:row r="224" ht="15" customHeight="1">
      <x:c r="A224" s="57" t="str">
        <x:v>OLAP</x:v>
      </x:c>
      <x:c r="B224" s="59" t="str">
        <x:v>Daily Analytics 7 Days</x:v>
      </x:c>
      <x:c r="C224" s="57" t="n">
        <x:v>3</x:v>
      </x:c>
      <x:c r="D224" s="59" t="str">
        <x:v>Snapshot Date</x:v>
      </x:c>
    </x:row>
    <x:row r="225" ht="15" customHeight="1">
      <x:c r="A225" s="57" t="str">
        <x:v>OLAP</x:v>
      </x:c>
      <x:c r="B225" s="59" t="str">
        <x:v>Daily Analytics 7 Days</x:v>
      </x:c>
      <x:c r="C225" s="57" t="n">
        <x:v>4</x:v>
      </x:c>
      <x:c r="D225" s="59" t="str">
        <x:v>Generated At</x:v>
      </x:c>
    </x:row>
    <x:row r="226" ht="15" customHeight="1">
      <x:c r="A226" s="57" t="str">
        <x:v>OLAP</x:v>
      </x:c>
      <x:c r="B226" s="59" t="str">
        <x:v>Daily Analytics 7 Days</x:v>
      </x:c>
      <x:c r="C226" s="57" t="n">
        <x:v>5</x:v>
      </x:c>
      <x:c r="D226" s="59" t="str">
        <x:v>Model Version</x:v>
      </x:c>
    </x:row>
    <x:row r="227" ht="15" customHeight="1">
      <x:c r="A227" s="57" t="str">
        <x:v>OLAP</x:v>
      </x:c>
      <x:c r="B227" s="59" t="str">
        <x:v>Daily Analytics 7 Days</x:v>
      </x:c>
      <x:c r="C227" s="57" t="n">
        <x:v>6</x:v>
      </x:c>
      <x:c r="D227" s="59" t="str">
        <x:v>Principal Issued</x:v>
      </x:c>
    </x:row>
    <x:row r="228" ht="15" customHeight="1">
      <x:c r="A228" s="57" t="str">
        <x:v>OLAP</x:v>
      </x:c>
      <x:c r="B228" s="59" t="str">
        <x:v>Daily Analytics 7 Days</x:v>
      </x:c>
      <x:c r="C228" s="57" t="n">
        <x:v>7</x:v>
      </x:c>
      <x:c r="D228" s="59" t="str">
        <x:v>Loans Issued</x:v>
      </x:c>
    </x:row>
    <x:row r="229" ht="15" customHeight="1">
      <x:c r="A229" s="57" t="str">
        <x:v>OLAP</x:v>
      </x:c>
      <x:c r="B229" s="59" t="str">
        <x:v>Daily Analytics 7 Days</x:v>
      </x:c>
      <x:c r="C229" s="57" t="n">
        <x:v>8</x:v>
      </x:c>
      <x:c r="D229" s="59" t="str">
        <x:v>Principal Returned</x:v>
      </x:c>
    </x:row>
    <x:row r="230" ht="15" customHeight="1">
      <x:c r="A230" s="57" t="str">
        <x:v>OLAP</x:v>
      </x:c>
      <x:c r="B230" s="59" t="str">
        <x:v>Daily Analytics 7 Days</x:v>
      </x:c>
      <x:c r="C230" s="57" t="n">
        <x:v>9</x:v>
      </x:c>
      <x:c r="D230" s="59" t="str">
        <x:v>Interest Received</x:v>
      </x:c>
    </x:row>
    <x:row r="231" ht="15" customHeight="1">
      <x:c r="A231" s="57" t="str">
        <x:v>OLAP</x:v>
      </x:c>
      <x:c r="B231" s="59" t="str">
        <x:v>Daily Analytics 7 Days</x:v>
      </x:c>
      <x:c r="C231" s="57" t="n">
        <x:v>10</x:v>
      </x:c>
      <x:c r="D231" s="59" t="str">
        <x:v>Repayments Count</x:v>
      </x:c>
    </x:row>
    <x:row r="232" ht="15" customHeight="1">
      <x:c r="A232" s="57" t="str">
        <x:v>OLAP</x:v>
      </x:c>
      <x:c r="B232" s="59" t="str">
        <x:v>Daily Analytics 7 Days</x:v>
      </x:c>
      <x:c r="C232" s="57" t="n">
        <x:v>11</x:v>
      </x:c>
      <x:c r="D232" s="59" t="str">
        <x:v>Outstanding Principal EOD</x:v>
      </x:c>
    </x:row>
    <x:row r="233" ht="15" customHeight="1">
      <x:c r="A233" s="57" t="str">
        <x:v>OLAP</x:v>
      </x:c>
      <x:c r="B233" s="59" t="str">
        <x:v>Daily Analytics 7 Days</x:v>
      </x:c>
      <x:c r="C233" s="57" t="n">
        <x:v>12</x:v>
      </x:c>
      <x:c r="D233" s="59" t="str">
        <x:v>Active Loans EOD</x:v>
      </x:c>
    </x:row>
    <x:row r="234" ht="15" customHeight="1">
      <x:c r="A234" s="57" t="str">
        <x:v>OLAP</x:v>
      </x:c>
      <x:c r="B234" s="59" t="str">
        <x:v>Daily Analytics 7 Days</x:v>
      </x:c>
      <x:c r="C234" s="57" t="n">
        <x:v>13</x:v>
      </x:c>
      <x:c r="D234" s="59" t="str">
        <x:v>Active Borrowers EOD</x:v>
      </x:c>
    </x:row>
    <x:row r="235" ht="15" customHeight="1">
      <x:c r="A235" s="57" t="str">
        <x:v>OLAP</x:v>
      </x:c>
      <x:c r="B235" s="59" t="str">
        <x:v>Daily Analytics 7 Days</x:v>
      </x:c>
      <x:c r="C235" s="57" t="n">
        <x:v>14</x:v>
      </x:c>
      <x:c r="D235" s="59" t="str">
        <x:v>Pending Charges EOD</x:v>
      </x:c>
    </x:row>
    <x:row r="236" ht="15" customHeight="1">
      <x:c r="A236" s="57" t="str">
        <x:v>OLAP</x:v>
      </x:c>
      <x:c r="B236" s="59" t="str">
        <x:v>Daily Analytics 7 Days</x:v>
      </x:c>
      <x:c r="C236" s="57" t="n">
        <x:v>15</x:v>
      </x:c>
      <x:c r="D236" s="59" t="str">
        <x:v>Total Cash Pool EOD</x:v>
      </x:c>
    </x:row>
    <x:row r="237" ht="15" customHeight="1">
      <x:c r="A237" s="57" t="str">
        <x:v>OLAP</x:v>
      </x:c>
      <x:c r="B237" s="59" t="str">
        <x:v>Daily Analytics 7 Days</x:v>
      </x:c>
      <x:c r="C237" s="57" t="n">
        <x:v>16</x:v>
      </x:c>
      <x:c r="D237" s="59" t="str">
        <x:v>Available Cash EOD</x:v>
      </x:c>
    </x:row>
    <x:row r="238" ht="15" customHeight="1">
      <x:c r="A238" s="57" t="str">
        <x:v>OLAP</x:v>
      </x:c>
      <x:c r="B238" s="59" t="str">
        <x:v>Daily Analytics 7 Days</x:v>
      </x:c>
      <x:c r="C238" s="57" t="n">
        <x:v>17</x:v>
      </x:c>
      <x:c r="D238" s="59" t="str">
        <x:v>Unsettled Profit EOD</x:v>
      </x:c>
    </x:row>
    <x:row r="239" ht="15" customHeight="1">
      <x:c r="A239" s="57" t="str">
        <x:v>OLAP</x:v>
      </x:c>
      <x:c r="B239" s="59" t="str">
        <x:v>Daily Analytics 7 Days</x:v>
      </x:c>
      <x:c r="C239" s="57" t="n">
        <x:v>18</x:v>
      </x:c>
      <x:c r="D239" s="59" t="str">
        <x:v>Week</x:v>
      </x:c>
    </x:row>
    <x:row r="240" ht="15" customHeight="1">
      <x:c r="A240" s="57" t="str">
        <x:v>OLAP</x:v>
      </x:c>
      <x:c r="B240" s="59" t="str">
        <x:v>Daily Analytics 7 Days</x:v>
      </x:c>
      <x:c r="C240" s="57" t="n">
        <x:v>19</x:v>
      </x:c>
      <x:c r="D240" s="59" t="str">
        <x:v>Month</x:v>
      </x:c>
    </x:row>
    <x:row r="241" ht="15" customHeight="1">
      <x:c r="A241" s="57" t="str">
        <x:v>OLAP</x:v>
      </x:c>
      <x:c r="B241" s="59" t="str">
        <x:v>Daily Analytics 7 Days</x:v>
      </x:c>
      <x:c r="C241" s="57" t="n">
        <x:v>20</x:v>
      </x:c>
      <x:c r="D241" s="59" t="str">
        <x:v>Daily Capital Employed</x:v>
      </x:c>
    </x:row>
    <x:row r="242" ht="15" customHeight="1">
      <x:c r="A242" s="57" t="str">
        <x:v>OLAP</x:v>
      </x:c>
      <x:c r="B242" s="59" t="str">
        <x:v>Daily Analytics 7 Days</x:v>
      </x:c>
      <x:c r="C242" s="57" t="n">
        <x:v>21</x:v>
      </x:c>
      <x:c r="D242" s="59" t="str">
        <x:v>Daily Capital Yield</x:v>
      </x:c>
    </x:row>
    <x:row r="243" ht="15" customHeight="1">
      <x:c r="A243" s="57" t="str">
        <x:v>OLAP</x:v>
      </x:c>
      <x:c r="B243" s="59" t="str">
        <x:v>Daily Analytics 7 Days</x:v>
      </x:c>
      <x:c r="C243" s="57" t="n">
        <x:v>22</x:v>
      </x:c>
      <x:c r="D243" s="59" t="str">
        <x:v>Portfolio Share Join Key</x:v>
      </x:c>
    </x:row>
    <x:row r="244" ht="15" customHeight="1">
      <x:c r="A244" s="57" t="str">
        <x:v>OLAP</x:v>
      </x:c>
      <x:c r="B244" s="59" t="str">
        <x:v>Daily Analytics 7 Days</x:v>
      </x:c>
      <x:c r="C244" s="57" t="n">
        <x:v>23</x:v>
      </x:c>
      <x:c r="D244" s="59" t="str">
        <x:v>Portfolio Slice</x:v>
      </x:c>
    </x:row>
    <x:row r="245" ht="15" customHeight="1">
      <x:c r="A245" s="57" t="str">
        <x:v>OLAP</x:v>
      </x:c>
      <x:c r="B245" s="59" t="str">
        <x:v>Daily Analytics 30 Days</x:v>
      </x:c>
      <x:c r="C245" s="57" t="n">
        <x:v>1</x:v>
      </x:c>
      <x:c r="D245" s="59" t="str">
        <x:v>_RowNumber</x:v>
      </x:c>
    </x:row>
    <x:row r="246" ht="15" customHeight="1">
      <x:c r="A246" s="57" t="str">
        <x:v>OLAP</x:v>
      </x:c>
      <x:c r="B246" s="59" t="str">
        <x:v>Daily Analytics 30 Days</x:v>
      </x:c>
      <x:c r="C246" s="57" t="n">
        <x:v>2</x:v>
      </x:c>
      <x:c r="D246" s="59" t="str">
        <x:v>Row ID</x:v>
      </x:c>
    </x:row>
    <x:row r="247" ht="15" customHeight="1">
      <x:c r="A247" s="57" t="str">
        <x:v>OLAP</x:v>
      </x:c>
      <x:c r="B247" s="59" t="str">
        <x:v>Daily Analytics 30 Days</x:v>
      </x:c>
      <x:c r="C247" s="57" t="n">
        <x:v>3</x:v>
      </x:c>
      <x:c r="D247" s="59" t="str">
        <x:v>Snapshot Date</x:v>
      </x:c>
    </x:row>
    <x:row r="248" ht="15" customHeight="1">
      <x:c r="A248" s="57" t="str">
        <x:v>OLAP</x:v>
      </x:c>
      <x:c r="B248" s="59" t="str">
        <x:v>Daily Analytics 30 Days</x:v>
      </x:c>
      <x:c r="C248" s="57" t="n">
        <x:v>4</x:v>
      </x:c>
      <x:c r="D248" s="59" t="str">
        <x:v>Generated At</x:v>
      </x:c>
    </x:row>
    <x:row r="249" ht="15" customHeight="1">
      <x:c r="A249" s="57" t="str">
        <x:v>OLAP</x:v>
      </x:c>
      <x:c r="B249" s="59" t="str">
        <x:v>Daily Analytics 30 Days</x:v>
      </x:c>
      <x:c r="C249" s="57" t="n">
        <x:v>5</x:v>
      </x:c>
      <x:c r="D249" s="59" t="str">
        <x:v>Model Version</x:v>
      </x:c>
    </x:row>
    <x:row r="250" ht="15" customHeight="1">
      <x:c r="A250" s="57" t="str">
        <x:v>OLAP</x:v>
      </x:c>
      <x:c r="B250" s="59" t="str">
        <x:v>Daily Analytics 30 Days</x:v>
      </x:c>
      <x:c r="C250" s="57" t="n">
        <x:v>6</x:v>
      </x:c>
      <x:c r="D250" s="59" t="str">
        <x:v>Principal Issued</x:v>
      </x:c>
    </x:row>
    <x:row r="251" ht="15" customHeight="1">
      <x:c r="A251" s="57" t="str">
        <x:v>OLAP</x:v>
      </x:c>
      <x:c r="B251" s="59" t="str">
        <x:v>Daily Analytics 30 Days</x:v>
      </x:c>
      <x:c r="C251" s="57" t="n">
        <x:v>7</x:v>
      </x:c>
      <x:c r="D251" s="59" t="str">
        <x:v>Loans Issued</x:v>
      </x:c>
    </x:row>
    <x:row r="252" ht="15" customHeight="1">
      <x:c r="A252" s="57" t="str">
        <x:v>OLAP</x:v>
      </x:c>
      <x:c r="B252" s="59" t="str">
        <x:v>Daily Analytics 30 Days</x:v>
      </x:c>
      <x:c r="C252" s="57" t="n">
        <x:v>8</x:v>
      </x:c>
      <x:c r="D252" s="59" t="str">
        <x:v>Principal Returned</x:v>
      </x:c>
    </x:row>
    <x:row r="253" ht="15" customHeight="1">
      <x:c r="A253" s="57" t="str">
        <x:v>OLAP</x:v>
      </x:c>
      <x:c r="B253" s="59" t="str">
        <x:v>Daily Analytics 30 Days</x:v>
      </x:c>
      <x:c r="C253" s="57" t="n">
        <x:v>9</x:v>
      </x:c>
      <x:c r="D253" s="59" t="str">
        <x:v>Interest Received</x:v>
      </x:c>
    </x:row>
    <x:row r="254" ht="15" customHeight="1">
      <x:c r="A254" s="57" t="str">
        <x:v>OLAP</x:v>
      </x:c>
      <x:c r="B254" s="59" t="str">
        <x:v>Daily Analytics 30 Days</x:v>
      </x:c>
      <x:c r="C254" s="57" t="n">
        <x:v>10</x:v>
      </x:c>
      <x:c r="D254" s="59" t="str">
        <x:v>Repayments Count</x:v>
      </x:c>
    </x:row>
    <x:row r="255" ht="15" customHeight="1">
      <x:c r="A255" s="57" t="str">
        <x:v>OLAP</x:v>
      </x:c>
      <x:c r="B255" s="59" t="str">
        <x:v>Daily Analytics 30 Days</x:v>
      </x:c>
      <x:c r="C255" s="57" t="n">
        <x:v>11</x:v>
      </x:c>
      <x:c r="D255" s="59" t="str">
        <x:v>Outstanding Principal EOD</x:v>
      </x:c>
    </x:row>
    <x:row r="256" ht="15" customHeight="1">
      <x:c r="A256" s="57" t="str">
        <x:v>OLAP</x:v>
      </x:c>
      <x:c r="B256" s="59" t="str">
        <x:v>Daily Analytics 30 Days</x:v>
      </x:c>
      <x:c r="C256" s="57" t="n">
        <x:v>12</x:v>
      </x:c>
      <x:c r="D256" s="59" t="str">
        <x:v>Active Loans EOD</x:v>
      </x:c>
    </x:row>
    <x:row r="257" ht="15" customHeight="1">
      <x:c r="A257" s="57" t="str">
        <x:v>OLAP</x:v>
      </x:c>
      <x:c r="B257" s="59" t="str">
        <x:v>Daily Analytics 30 Days</x:v>
      </x:c>
      <x:c r="C257" s="57" t="n">
        <x:v>13</x:v>
      </x:c>
      <x:c r="D257" s="59" t="str">
        <x:v>Active Borrowers EOD</x:v>
      </x:c>
    </x:row>
    <x:row r="258" ht="15" customHeight="1">
      <x:c r="A258" s="57" t="str">
        <x:v>OLAP</x:v>
      </x:c>
      <x:c r="B258" s="59" t="str">
        <x:v>Daily Analytics 30 Days</x:v>
      </x:c>
      <x:c r="C258" s="57" t="n">
        <x:v>14</x:v>
      </x:c>
      <x:c r="D258" s="59" t="str">
        <x:v>Pending Charges EOD</x:v>
      </x:c>
    </x:row>
    <x:row r="259" ht="15" customHeight="1">
      <x:c r="A259" s="57" t="str">
        <x:v>OLAP</x:v>
      </x:c>
      <x:c r="B259" s="59" t="str">
        <x:v>Daily Analytics 30 Days</x:v>
      </x:c>
      <x:c r="C259" s="57" t="n">
        <x:v>15</x:v>
      </x:c>
      <x:c r="D259" s="59" t="str">
        <x:v>Total Cash Pool EOD</x:v>
      </x:c>
    </x:row>
    <x:row r="260" ht="15" customHeight="1">
      <x:c r="A260" s="57" t="str">
        <x:v>OLAP</x:v>
      </x:c>
      <x:c r="B260" s="59" t="str">
        <x:v>Daily Analytics 30 Days</x:v>
      </x:c>
      <x:c r="C260" s="57" t="n">
        <x:v>16</x:v>
      </x:c>
      <x:c r="D260" s="59" t="str">
        <x:v>Available Cash EOD</x:v>
      </x:c>
    </x:row>
    <x:row r="261" ht="15" customHeight="1">
      <x:c r="A261" s="57" t="str">
        <x:v>OLAP</x:v>
      </x:c>
      <x:c r="B261" s="59" t="str">
        <x:v>Daily Analytics 30 Days</x:v>
      </x:c>
      <x:c r="C261" s="57" t="n">
        <x:v>17</x:v>
      </x:c>
      <x:c r="D261" s="59" t="str">
        <x:v>Unsettled Profit EOD</x:v>
      </x:c>
    </x:row>
    <x:row r="262" ht="15" customHeight="1">
      <x:c r="A262" s="57" t="str">
        <x:v>OLAP</x:v>
      </x:c>
      <x:c r="B262" s="59" t="str">
        <x:v>Daily Analytics 30 Days</x:v>
      </x:c>
      <x:c r="C262" s="57" t="n">
        <x:v>18</x:v>
      </x:c>
      <x:c r="D262" s="59" t="str">
        <x:v>Week</x:v>
      </x:c>
    </x:row>
    <x:row r="263" ht="15" customHeight="1">
      <x:c r="A263" s="57" t="str">
        <x:v>OLAP</x:v>
      </x:c>
      <x:c r="B263" s="59" t="str">
        <x:v>Daily Analytics 30 Days</x:v>
      </x:c>
      <x:c r="C263" s="57" t="n">
        <x:v>19</x:v>
      </x:c>
      <x:c r="D263" s="59" t="str">
        <x:v>Month</x:v>
      </x:c>
    </x:row>
    <x:row r="264" ht="15" customHeight="1">
      <x:c r="A264" s="57" t="str">
        <x:v>OLAP</x:v>
      </x:c>
      <x:c r="B264" s="59" t="str">
        <x:v>Daily Analytics 30 Days</x:v>
      </x:c>
      <x:c r="C264" s="57" t="n">
        <x:v>20</x:v>
      </x:c>
      <x:c r="D264" s="59" t="str">
        <x:v>Daily Capital Employed</x:v>
      </x:c>
    </x:row>
    <x:row r="265" ht="15" customHeight="1">
      <x:c r="A265" s="57" t="str">
        <x:v>OLAP</x:v>
      </x:c>
      <x:c r="B265" s="59" t="str">
        <x:v>Daily Analytics 30 Days</x:v>
      </x:c>
      <x:c r="C265" s="57" t="n">
        <x:v>21</x:v>
      </x:c>
      <x:c r="D265" s="59" t="str">
        <x:v>Daily Capital Yield</x:v>
      </x:c>
    </x:row>
    <x:row r="266" ht="15" customHeight="1">
      <x:c r="A266" s="57" t="str">
        <x:v>OLAP</x:v>
      </x:c>
      <x:c r="B266" s="59" t="str">
        <x:v>Daily Analytics 30 Days</x:v>
      </x:c>
      <x:c r="C266" s="57" t="n">
        <x:v>22</x:v>
      </x:c>
      <x:c r="D266" s="59" t="str">
        <x:v>Portfolio Share Join Key</x:v>
      </x:c>
    </x:row>
    <x:row r="267" ht="15" customHeight="1">
      <x:c r="A267" s="57" t="str">
        <x:v>OLAP</x:v>
      </x:c>
      <x:c r="B267" s="59" t="str">
        <x:v>Daily Analytics 30 Days</x:v>
      </x:c>
      <x:c r="C267" s="57" t="n">
        <x:v>23</x:v>
      </x:c>
      <x:c r="D267" s="59" t="str">
        <x:v>Portfolio Slice</x:v>
      </x:c>
    </x:row>
    <x:row r="268" ht="15" customHeight="1">
      <x:c r="A268" s="57" t="str">
        <x:v>OLAP</x:v>
      </x:c>
      <x:c r="B268" s="59" t="str">
        <x:v>Daily Analytics 90 Days</x:v>
      </x:c>
      <x:c r="C268" s="57" t="n">
        <x:v>1</x:v>
      </x:c>
      <x:c r="D268" s="59" t="str">
        <x:v>_RowNumber</x:v>
      </x:c>
    </x:row>
    <x:row r="269" ht="15" customHeight="1">
      <x:c r="A269" s="57" t="str">
        <x:v>OLAP</x:v>
      </x:c>
      <x:c r="B269" s="59" t="str">
        <x:v>Daily Analytics 90 Days</x:v>
      </x:c>
      <x:c r="C269" s="57" t="n">
        <x:v>2</x:v>
      </x:c>
      <x:c r="D269" s="59" t="str">
        <x:v>Row ID</x:v>
      </x:c>
    </x:row>
    <x:row r="270" ht="15" customHeight="1">
      <x:c r="A270" s="57" t="str">
        <x:v>OLAP</x:v>
      </x:c>
      <x:c r="B270" s="59" t="str">
        <x:v>Daily Analytics 90 Days</x:v>
      </x:c>
      <x:c r="C270" s="57" t="n">
        <x:v>3</x:v>
      </x:c>
      <x:c r="D270" s="59" t="str">
        <x:v>Snapshot Date</x:v>
      </x:c>
    </x:row>
    <x:row r="271" ht="15" customHeight="1">
      <x:c r="A271" s="57" t="str">
        <x:v>OLAP</x:v>
      </x:c>
      <x:c r="B271" s="59" t="str">
        <x:v>Daily Analytics 90 Days</x:v>
      </x:c>
      <x:c r="C271" s="57" t="n">
        <x:v>4</x:v>
      </x:c>
      <x:c r="D271" s="59" t="str">
        <x:v>Generated At</x:v>
      </x:c>
    </x:row>
    <x:row r="272" ht="15" customHeight="1">
      <x:c r="A272" s="57" t="str">
        <x:v>OLAP</x:v>
      </x:c>
      <x:c r="B272" s="59" t="str">
        <x:v>Daily Analytics 90 Days</x:v>
      </x:c>
      <x:c r="C272" s="57" t="n">
        <x:v>5</x:v>
      </x:c>
      <x:c r="D272" s="59" t="str">
        <x:v>Model Version</x:v>
      </x:c>
    </x:row>
    <x:row r="273" ht="15" customHeight="1">
      <x:c r="A273" s="57" t="str">
        <x:v>OLAP</x:v>
      </x:c>
      <x:c r="B273" s="59" t="str">
        <x:v>Daily Analytics 90 Days</x:v>
      </x:c>
      <x:c r="C273" s="57" t="n">
        <x:v>6</x:v>
      </x:c>
      <x:c r="D273" s="59" t="str">
        <x:v>Principal Issued</x:v>
      </x:c>
    </x:row>
    <x:row r="274" ht="15" customHeight="1">
      <x:c r="A274" s="57" t="str">
        <x:v>OLAP</x:v>
      </x:c>
      <x:c r="B274" s="59" t="str">
        <x:v>Daily Analytics 90 Days</x:v>
      </x:c>
      <x:c r="C274" s="57" t="n">
        <x:v>7</x:v>
      </x:c>
      <x:c r="D274" s="59" t="str">
        <x:v>Loans Issued</x:v>
      </x:c>
    </x:row>
    <x:row r="275" ht="15" customHeight="1">
      <x:c r="A275" s="57" t="str">
        <x:v>OLAP</x:v>
      </x:c>
      <x:c r="B275" s="59" t="str">
        <x:v>Daily Analytics 90 Days</x:v>
      </x:c>
      <x:c r="C275" s="57" t="n">
        <x:v>8</x:v>
      </x:c>
      <x:c r="D275" s="59" t="str">
        <x:v>Principal Returned</x:v>
      </x:c>
    </x:row>
    <x:row r="276" ht="15" customHeight="1">
      <x:c r="A276" s="57" t="str">
        <x:v>OLAP</x:v>
      </x:c>
      <x:c r="B276" s="59" t="str">
        <x:v>Daily Analytics 90 Days</x:v>
      </x:c>
      <x:c r="C276" s="57" t="n">
        <x:v>9</x:v>
      </x:c>
      <x:c r="D276" s="59" t="str">
        <x:v>Interest Received</x:v>
      </x:c>
    </x:row>
    <x:row r="277" ht="15" customHeight="1">
      <x:c r="A277" s="57" t="str">
        <x:v>OLAP</x:v>
      </x:c>
      <x:c r="B277" s="59" t="str">
        <x:v>Daily Analytics 90 Days</x:v>
      </x:c>
      <x:c r="C277" s="57" t="n">
        <x:v>10</x:v>
      </x:c>
      <x:c r="D277" s="59" t="str">
        <x:v>Repayments Count</x:v>
      </x:c>
    </x:row>
    <x:row r="278" ht="15" customHeight="1">
      <x:c r="A278" s="57" t="str">
        <x:v>OLAP</x:v>
      </x:c>
      <x:c r="B278" s="59" t="str">
        <x:v>Daily Analytics 90 Days</x:v>
      </x:c>
      <x:c r="C278" s="57" t="n">
        <x:v>11</x:v>
      </x:c>
      <x:c r="D278" s="59" t="str">
        <x:v>Outstanding Principal EOD</x:v>
      </x:c>
    </x:row>
    <x:row r="279" ht="15" customHeight="1">
      <x:c r="A279" s="57" t="str">
        <x:v>OLAP</x:v>
      </x:c>
      <x:c r="B279" s="59" t="str">
        <x:v>Daily Analytics 90 Days</x:v>
      </x:c>
      <x:c r="C279" s="57" t="n">
        <x:v>12</x:v>
      </x:c>
      <x:c r="D279" s="59" t="str">
        <x:v>Active Loans EOD</x:v>
      </x:c>
    </x:row>
    <x:row r="280" ht="15" customHeight="1">
      <x:c r="A280" s="57" t="str">
        <x:v>OLAP</x:v>
      </x:c>
      <x:c r="B280" s="59" t="str">
        <x:v>Daily Analytics 90 Days</x:v>
      </x:c>
      <x:c r="C280" s="57" t="n">
        <x:v>13</x:v>
      </x:c>
      <x:c r="D280" s="59" t="str">
        <x:v>Active Borrowers EOD</x:v>
      </x:c>
    </x:row>
    <x:row r="281" ht="15" customHeight="1">
      <x:c r="A281" s="57" t="str">
        <x:v>OLAP</x:v>
      </x:c>
      <x:c r="B281" s="59" t="str">
        <x:v>Daily Analytics 90 Days</x:v>
      </x:c>
      <x:c r="C281" s="57" t="n">
        <x:v>14</x:v>
      </x:c>
      <x:c r="D281" s="59" t="str">
        <x:v>Pending Charges EOD</x:v>
      </x:c>
    </x:row>
    <x:row r="282" ht="15" customHeight="1">
      <x:c r="A282" s="57" t="str">
        <x:v>OLAP</x:v>
      </x:c>
      <x:c r="B282" s="59" t="str">
        <x:v>Daily Analytics 90 Days</x:v>
      </x:c>
      <x:c r="C282" s="57" t="n">
        <x:v>15</x:v>
      </x:c>
      <x:c r="D282" s="59" t="str">
        <x:v>Total Cash Pool EOD</x:v>
      </x:c>
    </x:row>
    <x:row r="283" ht="15" customHeight="1">
      <x:c r="A283" s="57" t="str">
        <x:v>OLAP</x:v>
      </x:c>
      <x:c r="B283" s="59" t="str">
        <x:v>Daily Analytics 90 Days</x:v>
      </x:c>
      <x:c r="C283" s="57" t="n">
        <x:v>16</x:v>
      </x:c>
      <x:c r="D283" s="59" t="str">
        <x:v>Available Cash EOD</x:v>
      </x:c>
    </x:row>
    <x:row r="284" ht="15" customHeight="1">
      <x:c r="A284" s="57" t="str">
        <x:v>OLAP</x:v>
      </x:c>
      <x:c r="B284" s="59" t="str">
        <x:v>Daily Analytics 90 Days</x:v>
      </x:c>
      <x:c r="C284" s="57" t="n">
        <x:v>17</x:v>
      </x:c>
      <x:c r="D284" s="59" t="str">
        <x:v>Unsettled Profit EOD</x:v>
      </x:c>
    </x:row>
    <x:row r="285" ht="15" customHeight="1">
      <x:c r="A285" s="57" t="str">
        <x:v>OLAP</x:v>
      </x:c>
      <x:c r="B285" s="59" t="str">
        <x:v>Daily Analytics 90 Days</x:v>
      </x:c>
      <x:c r="C285" s="57" t="n">
        <x:v>18</x:v>
      </x:c>
      <x:c r="D285" s="59" t="str">
        <x:v>Week</x:v>
      </x:c>
    </x:row>
    <x:row r="286" ht="15" customHeight="1">
      <x:c r="A286" s="57" t="str">
        <x:v>OLAP</x:v>
      </x:c>
      <x:c r="B286" s="59" t="str">
        <x:v>Daily Analytics 90 Days</x:v>
      </x:c>
      <x:c r="C286" s="57" t="n">
        <x:v>19</x:v>
      </x:c>
      <x:c r="D286" s="59" t="str">
        <x:v>Month</x:v>
      </x:c>
    </x:row>
    <x:row r="287" ht="15" customHeight="1">
      <x:c r="A287" s="57" t="str">
        <x:v>OLAP</x:v>
      </x:c>
      <x:c r="B287" s="59" t="str">
        <x:v>Daily Analytics 90 Days</x:v>
      </x:c>
      <x:c r="C287" s="57" t="n">
        <x:v>20</x:v>
      </x:c>
      <x:c r="D287" s="59" t="str">
        <x:v>Daily Capital Employed</x:v>
      </x:c>
    </x:row>
    <x:row r="288" ht="15" customHeight="1">
      <x:c r="A288" s="57" t="str">
        <x:v>OLAP</x:v>
      </x:c>
      <x:c r="B288" s="59" t="str">
        <x:v>Daily Analytics 90 Days</x:v>
      </x:c>
      <x:c r="C288" s="57" t="n">
        <x:v>21</x:v>
      </x:c>
      <x:c r="D288" s="59" t="str">
        <x:v>Daily Capital Yield</x:v>
      </x:c>
    </x:row>
    <x:row r="289" ht="15" customHeight="1">
      <x:c r="A289" s="57" t="str">
        <x:v>OLAP</x:v>
      </x:c>
      <x:c r="B289" s="59" t="str">
        <x:v>Daily Analytics 90 Days</x:v>
      </x:c>
      <x:c r="C289" s="57" t="n">
        <x:v>22</x:v>
      </x:c>
      <x:c r="D289" s="59" t="str">
        <x:v>Portfolio Share Join Key</x:v>
      </x:c>
    </x:row>
    <x:row r="290" ht="15" customHeight="1">
      <x:c r="A290" s="57" t="str">
        <x:v>OLAP</x:v>
      </x:c>
      <x:c r="B290" s="59" t="str">
        <x:v>Daily Analytics 90 Days</x:v>
      </x:c>
      <x:c r="C290" s="57" t="n">
        <x:v>23</x:v>
      </x:c>
      <x:c r="D290" s="59" t="str">
        <x:v>Portfolio Slice</x:v>
      </x:c>
    </x:row>
    <x:row r="291" ht="15" customHeight="1">
      <x:c r="A291" s="57" t="str">
        <x:v>OLAP</x:v>
      </x:c>
      <x:c r="B291" s="59" t="str">
        <x:v>Reporting Daily Analytics</x:v>
      </x:c>
      <x:c r="C291" s="57" t="n">
        <x:v>1</x:v>
      </x:c>
      <x:c r="D291" s="59" t="str">
        <x:v>_RowNumber</x:v>
      </x:c>
    </x:row>
    <x:row r="292" ht="15" customHeight="1">
      <x:c r="A292" s="57" t="str">
        <x:v>OLAP</x:v>
      </x:c>
      <x:c r="B292" s="59" t="str">
        <x:v>Reporting Daily Analytics</x:v>
      </x:c>
      <x:c r="C292" s="57" t="n">
        <x:v>2</x:v>
      </x:c>
      <x:c r="D292" s="59" t="str">
        <x:v>Row ID</x:v>
      </x:c>
    </x:row>
    <x:row r="293" ht="15" customHeight="1">
      <x:c r="A293" s="57" t="str">
        <x:v>OLAP</x:v>
      </x:c>
      <x:c r="B293" s="59" t="str">
        <x:v>Reporting Daily Analytics</x:v>
      </x:c>
      <x:c r="C293" s="57" t="n">
        <x:v>3</x:v>
      </x:c>
      <x:c r="D293" s="59" t="str">
        <x:v>Snapshot Date</x:v>
      </x:c>
    </x:row>
    <x:row r="294" ht="15" customHeight="1">
      <x:c r="A294" s="57" t="str">
        <x:v>OLAP</x:v>
      </x:c>
      <x:c r="B294" s="59" t="str">
        <x:v>Reporting Daily Analytics</x:v>
      </x:c>
      <x:c r="C294" s="57" t="n">
        <x:v>4</x:v>
      </x:c>
      <x:c r="D294" s="59" t="str">
        <x:v>Principal Issued</x:v>
      </x:c>
    </x:row>
    <x:row r="295" ht="15" customHeight="1">
      <x:c r="A295" s="57" t="str">
        <x:v>OLAP</x:v>
      </x:c>
      <x:c r="B295" s="59" t="str">
        <x:v>Reporting Daily Analytics</x:v>
      </x:c>
      <x:c r="C295" s="57" t="n">
        <x:v>5</x:v>
      </x:c>
      <x:c r="D295" s="59" t="str">
        <x:v>Principal Returned</x:v>
      </x:c>
    </x:row>
    <x:row r="296" ht="15" customHeight="1">
      <x:c r="A296" s="57" t="str">
        <x:v>OLAP</x:v>
      </x:c>
      <x:c r="B296" s="59" t="str">
        <x:v>Reporting Daily Analytics</x:v>
      </x:c>
      <x:c r="C296" s="57" t="n">
        <x:v>6</x:v>
      </x:c>
      <x:c r="D296" s="59" t="str">
        <x:v>Interest Received</x:v>
      </x:c>
    </x:row>
    <x:row r="297" ht="15" customHeight="1">
      <x:c r="A297" s="57" t="str">
        <x:v>OLAP</x:v>
      </x:c>
      <x:c r="B297" s="59" t="str">
        <x:v>Reporting Daily Analytics</x:v>
      </x:c>
      <x:c r="C297" s="57" t="n">
        <x:v>7</x:v>
      </x:c>
      <x:c r="D297" s="59" t="str">
        <x:v>Outstanding Principal EOD</x:v>
      </x:c>
    </x:row>
    <x:row r="298" ht="15" customHeight="1">
      <x:c r="A298" s="57" t="str">
        <x:v>OLAP</x:v>
      </x:c>
      <x:c r="B298" s="59" t="str">
        <x:v>Reporting Daily Analytics</x:v>
      </x:c>
      <x:c r="C298" s="57" t="n">
        <x:v>8</x:v>
      </x:c>
      <x:c r="D298" s="59" t="str">
        <x:v>Active Loans EOD</x:v>
      </x:c>
    </x:row>
    <x:row r="299" ht="15" customHeight="1">
      <x:c r="A299" s="57" t="str">
        <x:v>OLAP</x:v>
      </x:c>
      <x:c r="B299" s="59" t="str">
        <x:v>Reporting Daily Analytics</x:v>
      </x:c>
      <x:c r="C299" s="57" t="n">
        <x:v>9</x:v>
      </x:c>
      <x:c r="D299" s="59" t="str">
        <x:v>Active Borrowers EOD</x:v>
      </x:c>
    </x:row>
    <x:row r="300" ht="15" customHeight="1">
      <x:c r="A300" s="57" t="str">
        <x:v>OLAP</x:v>
      </x:c>
      <x:c r="B300" s="59" t="str">
        <x:v>Reporting Daily Analytics</x:v>
      </x:c>
      <x:c r="C300" s="57" t="n">
        <x:v>10</x:v>
      </x:c>
      <x:c r="D300" s="59" t="str">
        <x:v>Pending Charges EOD</x:v>
      </x:c>
    </x:row>
    <x:row r="301" ht="15" customHeight="1">
      <x:c r="A301" s="57" t="str">
        <x:v>OLAP</x:v>
      </x:c>
      <x:c r="B301" s="59" t="str">
        <x:v>Reporting Daily Analytics</x:v>
      </x:c>
      <x:c r="C301" s="57" t="n">
        <x:v>11</x:v>
      </x:c>
      <x:c r="D301" s="59" t="str">
        <x:v>Daily Capital Yield</x:v>
      </x:c>
    </x:row>
    <x:row r="302" ht="15" customHeight="1">
      <x:c r="A302" s="57" t="str">
        <x:v>OLAP</x:v>
      </x:c>
      <x:c r="B302" s="59" t="str">
        <x:v>Reporting Daily Analytics</x:v>
      </x:c>
      <x:c r="C302" s="57" t="n">
        <x:v>12</x:v>
      </x:c>
      <x:c r="D302" s="59" t="str">
        <x:v>Portfolio Share Join Key</x:v>
      </x:c>
    </x:row>
    <x:row r="303" ht="15" customHeight="1">
      <x:c r="A303" s="57" t="str">
        <x:v>OLAP</x:v>
      </x:c>
      <x:c r="B303" s="59" t="str">
        <x:v>Reporting Daily Analytics</x:v>
      </x:c>
      <x:c r="C303" s="57" t="n">
        <x:v>13</x:v>
      </x:c>
      <x:c r="D303" s="59" t="str">
        <x:v>Portfolio Slice</x:v>
      </x:c>
    </x:row>
    <x:row r="304" ht="15" customHeight="1">
      <x:c r="A304" s="57" t="str">
        <x:v>OLAP</x:v>
      </x:c>
      <x:c r="B304" s="59" t="str">
        <x:v>Reporting Loans</x:v>
      </x:c>
      <x:c r="C304" s="57" t="n">
        <x:v>1</x:v>
      </x:c>
      <x:c r="D304" s="59" t="str">
        <x:v>_RowNumber</x:v>
      </x:c>
    </x:row>
    <x:row r="305" ht="15" customHeight="1">
      <x:c r="A305" s="57" t="str">
        <x:v>OLAP</x:v>
      </x:c>
      <x:c r="B305" s="59" t="str">
        <x:v>Reporting Loans</x:v>
      </x:c>
      <x:c r="C305" s="57" t="n">
        <x:v>2</x:v>
      </x:c>
      <x:c r="D305" s="59" t="str">
        <x:v>Row ID</x:v>
      </x:c>
    </x:row>
    <x:row r="306" ht="15" customHeight="1">
      <x:c r="A306" s="57" t="str">
        <x:v>OLAP</x:v>
      </x:c>
      <x:c r="B306" s="59" t="str">
        <x:v>Reporting Loans</x:v>
      </x:c>
      <x:c r="C306" s="57" t="n">
        <x:v>3</x:v>
      </x:c>
      <x:c r="D306" s="59" t="str">
        <x:v>Loan Date</x:v>
      </x:c>
    </x:row>
    <x:row r="307" ht="15" customHeight="1">
      <x:c r="A307" s="57" t="str">
        <x:v>OLAP</x:v>
      </x:c>
      <x:c r="B307" s="59" t="str">
        <x:v>Reporting Loans</x:v>
      </x:c>
      <x:c r="C307" s="57" t="n">
        <x:v>4</x:v>
      </x:c>
      <x:c r="D307" s="59" t="str">
        <x:v>Close Date</x:v>
      </x:c>
    </x:row>
    <x:row r="308" ht="15" customHeight="1">
      <x:c r="A308" s="57" t="str">
        <x:v>OLAP</x:v>
      </x:c>
      <x:c r="B308" s="59" t="str">
        <x:v>Reporting Loans</x:v>
      </x:c>
      <x:c r="C308" s="57" t="n">
        <x:v>5</x:v>
      </x:c>
      <x:c r="D308" s="59" t="str">
        <x:v>Principal Amount</x:v>
      </x:c>
    </x:row>
    <x:row r="309" ht="15" customHeight="1">
      <x:c r="A309" s="57" t="str">
        <x:v>OLAP</x:v>
      </x:c>
      <x:c r="B309" s="59" t="str">
        <x:v>Reporting Loans</x:v>
      </x:c>
      <x:c r="C309" s="57" t="n">
        <x:v>6</x:v>
      </x:c>
      <x:c r="D309" s="59" t="str">
        <x:v>Due Date</x:v>
      </x:c>
    </x:row>
    <x:row r="310" ht="15" customHeight="1">
      <x:c r="A310" s="57" t="str">
        <x:v>OLAP</x:v>
      </x:c>
      <x:c r="B310" s="59" t="str">
        <x:v>Reporting Loans</x:v>
      </x:c>
      <x:c r="C310" s="57" t="n">
        <x:v>7</x:v>
      </x:c>
      <x:c r="D310" s="59" t="str">
        <x:v>Ref Borrowers</x:v>
      </x:c>
    </x:row>
    <x:row r="311" ht="15" customHeight="1">
      <x:c r="A311" s="57" t="str">
        <x:v>OLAP</x:v>
      </x:c>
      <x:c r="B311" s="59" t="str">
        <x:v>Reporting Loans</x:v>
      </x:c>
      <x:c r="C311" s="57" t="n">
        <x:v>8</x:v>
      </x:c>
      <x:c r="D311" s="59" t="str">
        <x:v>Total Interest Received</x:v>
      </x:c>
    </x:row>
    <x:row r="312" ht="15" customHeight="1">
      <x:c r="A312" s="57" t="str">
        <x:v>OLAP</x:v>
      </x:c>
      <x:c r="B312" s="59" t="str">
        <x:v>Reporting Loans</x:v>
      </x:c>
      <x:c r="C312" s="57" t="n">
        <x:v>9</x:v>
      </x:c>
      <x:c r="D312" s="59" t="str">
        <x:v>Total Principal Received</x:v>
      </x:c>
    </x:row>
    <x:row r="313" ht="15" customHeight="1">
      <x:c r="A313" s="57" t="str">
        <x:v>OLAP</x:v>
      </x:c>
      <x:c r="B313" s="59" t="str">
        <x:v>Reporting Loans</x:v>
      </x:c>
      <x:c r="C313" s="57" t="n">
        <x:v>10</x:v>
      </x:c>
      <x:c r="D313" s="59" t="str">
        <x:v>Outstanding Principal</x:v>
      </x:c>
    </x:row>
    <x:row r="314" ht="15" customHeight="1">
      <x:c r="A314" s="57" t="str">
        <x:v>OLAP</x:v>
      </x:c>
      <x:c r="B314" s="59" t="str">
        <x:v>Reporting Loans</x:v>
      </x:c>
      <x:c r="C314" s="57" t="n">
        <x:v>11</x:v>
      </x:c>
      <x:c r="D314" s="59" t="str">
        <x:v>Total Amount Received</x:v>
      </x:c>
    </x:row>
    <x:row r="315" ht="15" customHeight="1">
      <x:c r="A315" s="57" t="str">
        <x:v>OLAP</x:v>
      </x:c>
      <x:c r="B315" s="59" t="str">
        <x:v>Reporting Loans</x:v>
      </x:c>
      <x:c r="C315" s="57" t="n">
        <x:v>12</x:v>
      </x:c>
      <x:c r="D315" s="59" t="str">
        <x:v>Loan Status TE</x:v>
      </x:c>
    </x:row>
    <x:row r="316" ht="15" customHeight="1">
      <x:c r="A316" s="57" t="str">
        <x:v>OLAP</x:v>
      </x:c>
      <x:c r="B316" s="59" t="str">
        <x:v>Reporting Loans</x:v>
      </x:c>
      <x:c r="C316" s="57" t="n">
        <x:v>13</x:v>
      </x:c>
      <x:c r="D316" s="59" t="str">
        <x:v>Loan Age Bucket</x:v>
      </x:c>
    </x:row>
    <x:row r="317" ht="15" customHeight="1">
      <x:c r="A317" s="57" t="str">
        <x:v>OLAP</x:v>
      </x:c>
      <x:c r="B317" s="59" t="str">
        <x:v>Reporting Loans</x:v>
      </x:c>
      <x:c r="C317" s="57" t="n">
        <x:v>14</x:v>
      </x:c>
      <x:c r="D317" s="59" t="str">
        <x:v>Loan Type TE</x:v>
      </x:c>
    </x:row>
    <x:row r="318" ht="15" customHeight="1">
      <x:c r="A318" s="57" t="str">
        <x:v>OLAP</x:v>
      </x:c>
      <x:c r="B318" s="59" t="str">
        <x:v>Reporting Loans</x:v>
      </x:c>
      <x:c r="C318" s="57" t="n">
        <x:v>15</x:v>
      </x:c>
      <x:c r="D318" s="59" t="str">
        <x:v>Loan Status</x:v>
      </x:c>
    </x:row>
    <x:row r="319" ht="15" customHeight="1">
      <x:c r="A319" s="57" t="str">
        <x:v>OLAP</x:v>
      </x:c>
      <x:c r="B319" s="59" t="str">
        <x:v>Reporting Loans</x:v>
      </x:c>
      <x:c r="C319" s="57" t="n">
        <x:v>16</x:v>
      </x:c>
      <x:c r="D319" s="59" t="str">
        <x:v>Loan Type</x:v>
      </x:c>
    </x:row>
    <x:row r="320" ht="15" customHeight="1">
      <x:c r="A320" s="57" t="str">
        <x:v>OLAP</x:v>
      </x:c>
      <x:c r="B320" s="59" t="str">
        <x:v>Reporting Loans</x:v>
      </x:c>
      <x:c r="C320" s="57" t="n">
        <x:v>17</x:v>
      </x:c>
      <x:c r="D320" s="59" t="str">
        <x:v>Current Daily Interest</x:v>
      </x:c>
    </x:row>
    <x:row r="321" ht="15" customHeight="1">
      <x:c r="A321" s="57" t="str">
        <x:v>OLAP</x:v>
      </x:c>
      <x:c r="B321" s="59" t="str">
        <x:v>Reporting Loans</x:v>
      </x:c>
      <x:c r="C321" s="57" t="n">
        <x:v>18</x:v>
      </x:c>
      <x:c r="D321" s="59" t="str">
        <x:v>Fixed Interest</x:v>
      </x:c>
    </x:row>
    <x:row r="322" ht="15" customHeight="1">
      <x:c r="A322" s="57" t="str">
        <x:v>OLAP</x:v>
      </x:c>
      <x:c r="B322" s="59" t="str">
        <x:v>Reporting Loans</x:v>
      </x:c>
      <x:c r="C322" s="57" t="n">
        <x:v>19</x:v>
      </x:c>
      <x:c r="D322" s="59" t="str">
        <x:v>Transfer Fee</x:v>
      </x:c>
    </x:row>
    <x:row r="323" ht="15" customHeight="1">
      <x:c r="A323" s="57" t="str">
        <x:v>OLAP</x:v>
      </x:c>
      <x:c r="B323" s="59" t="str">
        <x:v>Reporting Loans</x:v>
      </x:c>
      <x:c r="C323" s="57" t="n">
        <x:v>20</x:v>
      </x:c>
      <x:c r="D323" s="59" t="str">
        <x:v>Interest Payment Interval</x:v>
      </x:c>
    </x:row>
    <x:row r="324" ht="15" customHeight="1">
      <x:c r="A324" s="57" t="str">
        <x:v>OLAP</x:v>
      </x:c>
      <x:c r="B324" s="59" t="str">
        <x:v>Reporting Loans</x:v>
      </x:c>
      <x:c r="C324" s="57" t="n">
        <x:v>21</x:v>
      </x:c>
      <x:c r="D324" s="59" t="str">
        <x:v>Principal Recovered by Interest %</x:v>
      </x:c>
    </x:row>
    <x:row r="325" ht="15" customHeight="1">
      <x:c r="A325" s="57" t="str">
        <x:v>OLAP</x:v>
      </x:c>
      <x:c r="B325" s="59" t="str">
        <x:v>Reporting Loans</x:v>
      </x:c>
      <x:c r="C325" s="57" t="n">
        <x:v>22</x:v>
      </x:c>
      <x:c r="D325" s="59" t="str">
        <x:v>Expected Interest This Month</x:v>
      </x:c>
    </x:row>
    <x:row r="326" ht="15" customHeight="1">
      <x:c r="A326" s="57" t="str">
        <x:v>OLAP</x:v>
      </x:c>
      <x:c r="B326" s="59" t="str">
        <x:v>Reporting Loans</x:v>
      </x:c>
      <x:c r="C326" s="57" t="n">
        <x:v>23</x:v>
      </x:c>
      <x:c r="D326" s="59" t="str">
        <x:v>Effective Daily Interest Rate</x:v>
      </x:c>
    </x:row>
    <x:row r="327" ht="15" customHeight="1">
      <x:c r="A327" s="57" t="str">
        <x:v>OLAP</x:v>
      </x:c>
      <x:c r="B327" s="59" t="str">
        <x:v>Reporting Loans</x:v>
      </x:c>
      <x:c r="C327" s="57" t="n">
        <x:v>24</x:v>
      </x:c>
      <x:c r="D327" s="59" t="str">
        <x:v>Default Loss Amount</x:v>
      </x:c>
    </x:row>
    <x:row r="328" ht="15" customHeight="1">
      <x:c r="A328" s="57" t="str">
        <x:v>OLAP</x:v>
      </x:c>
      <x:c r="B328" s="59" t="str">
        <x:v>Reporting Loans</x:v>
      </x:c>
      <x:c r="C328" s="57" t="n">
        <x:v>25</x:v>
      </x:c>
      <x:c r="D328" s="59" t="str">
        <x:v>Defaulted Flag</x:v>
      </x:c>
    </x:row>
    <x:row r="329" ht="15" customHeight="1">
      <x:c r="A329" s="57" t="str">
        <x:v>OLAP</x:v>
      </x:c>
      <x:c r="B329" s="59" t="str">
        <x:v>Reporting Loans</x:v>
      </x:c>
      <x:c r="C329" s="57" t="n">
        <x:v>26</x:v>
      </x:c>
      <x:c r="D329" s="59" t="str">
        <x:v>Borrower Name</x:v>
      </x:c>
    </x:row>
    <x:row r="330" ht="15" customHeight="1">
      <x:c r="A330" s="57" t="str">
        <x:v>OLAP</x:v>
      </x:c>
      <x:c r="B330" s="59" t="str">
        <x:v>Reporting Loans</x:v>
      </x:c>
      <x:c r="C330" s="57" t="n">
        <x:v>27</x:v>
      </x:c>
      <x:c r="D330" s="59" t="str">
        <x:v>Borrower Name TE</x:v>
      </x:c>
    </x:row>
    <x:row r="331" ht="15" customHeight="1">
      <x:c r="A331" s="57" t="str">
        <x:v>OLAP</x:v>
      </x:c>
      <x:c r="B331" s="59" t="str">
        <x:v>Reporting Loans</x:v>
      </x:c>
      <x:c r="C331" s="57" t="n">
        <x:v>28</x:v>
      </x:c>
      <x:c r="D331" s="59" t="str">
        <x:v>Loan Duration</x:v>
      </x:c>
    </x:row>
    <x:row r="332" ht="15" customHeight="1">
      <x:c r="A332" s="57" t="str">
        <x:v>OLAP</x:v>
      </x:c>
      <x:c r="B332" s="59" t="str">
        <x:v>Reporting Loans</x:v>
      </x:c>
      <x:c r="C332" s="57" t="n">
        <x:v>29</x:v>
      </x:c>
      <x:c r="D332" s="59" t="str">
        <x:v>Defaulted</x:v>
      </x:c>
    </x:row>
    <x:row r="333" ht="15" customHeight="1">
      <x:c r="A333" s="57" t="str">
        <x:v>OLAP</x:v>
      </x:c>
      <x:c r="B333" s="59" t="str">
        <x:v>Reporting Loans</x:v>
      </x:c>
      <x:c r="C333" s="57" t="n">
        <x:v>30</x:v>
      </x:c>
      <x:c r="D333" s="59" t="str">
        <x:v>Maximum Days Late</x:v>
      </x:c>
    </x:row>
    <x:row r="334" ht="15" customHeight="1">
      <x:c r="A334" s="57" t="str">
        <x:v>OLAP</x:v>
      </x:c>
      <x:c r="B334" s="59" t="str">
        <x:v>Reporting Loans</x:v>
      </x:c>
      <x:c r="C334" s="57" t="n">
        <x:v>31</x:v>
      </x:c>
      <x:c r="D334" s="59" t="str">
        <x:v>Daily Payment Amount</x:v>
      </x:c>
    </x:row>
    <x:row r="335" ht="15" customHeight="1">
      <x:c r="A335" s="57" t="str">
        <x:v>OLAP</x:v>
      </x:c>
      <x:c r="B335" s="59" t="str">
        <x:v>Reporting Loans</x:v>
      </x:c>
      <x:c r="C335" s="57" t="n">
        <x:v>32</x:v>
      </x:c>
      <x:c r="D335" s="59" t="str">
        <x:v>Expected Daily Interest Amount</x:v>
      </x:c>
    </x:row>
    <x:row r="336" ht="15" customHeight="1">
      <x:c r="A336" s="57" t="str">
        <x:v>OLAP</x:v>
      </x:c>
      <x:c r="B336" s="59" t="str">
        <x:v>Reporting Repayments</x:v>
      </x:c>
      <x:c r="C336" s="57" t="n">
        <x:v>1</x:v>
      </x:c>
      <x:c r="D336" s="59" t="str">
        <x:v>_RowNumber</x:v>
      </x:c>
    </x:row>
    <x:row r="337" ht="15" customHeight="1">
      <x:c r="A337" s="57" t="str">
        <x:v>OLAP</x:v>
      </x:c>
      <x:c r="B337" s="59" t="str">
        <x:v>Reporting Repayments</x:v>
      </x:c>
      <x:c r="C337" s="57" t="n">
        <x:v>2</x:v>
      </x:c>
      <x:c r="D337" s="59" t="str">
        <x:v>Row ID</x:v>
      </x:c>
    </x:row>
    <x:row r="338" ht="15" customHeight="1">
      <x:c r="A338" s="57" t="str">
        <x:v>OLAP</x:v>
      </x:c>
      <x:c r="B338" s="59" t="str">
        <x:v>Reporting Repayments</x:v>
      </x:c>
      <x:c r="C338" s="57" t="n">
        <x:v>3</x:v>
      </x:c>
      <x:c r="D338" s="59" t="str">
        <x:v>Payment Date</x:v>
      </x:c>
    </x:row>
    <x:row r="339" ht="15" customHeight="1">
      <x:c r="A339" s="57" t="str">
        <x:v>OLAP</x:v>
      </x:c>
      <x:c r="B339" s="59" t="str">
        <x:v>Reporting Repayments</x:v>
      </x:c>
      <x:c r="C339" s="57" t="n">
        <x:v>4</x:v>
      </x:c>
      <x:c r="D339" s="59" t="str">
        <x:v>Amount Received</x:v>
      </x:c>
    </x:row>
    <x:row r="340" ht="15" customHeight="1">
      <x:c r="A340" s="57" t="str">
        <x:v>OLAP</x:v>
      </x:c>
      <x:c r="B340" s="59" t="str">
        <x:v>Reporting Repayments</x:v>
      </x:c>
      <x:c r="C340" s="57" t="n">
        <x:v>5</x:v>
      </x:c>
      <x:c r="D340" s="59" t="str">
        <x:v>Principal Paid</x:v>
      </x:c>
    </x:row>
    <x:row r="341" ht="15" customHeight="1">
      <x:c r="A341" s="57" t="str">
        <x:v>OLAP</x:v>
      </x:c>
      <x:c r="B341" s="59" t="str">
        <x:v>Reporting Repayments</x:v>
      </x:c>
      <x:c r="C341" s="57" t="n">
        <x:v>6</x:v>
      </x:c>
      <x:c r="D341" s="59" t="str">
        <x:v>Interest Paid</x:v>
      </x:c>
    </x:row>
    <x:row r="342" ht="15" customHeight="1">
      <x:c r="A342" s="57" t="str">
        <x:v>OLAP</x:v>
      </x:c>
      <x:c r="B342" s="59" t="str">
        <x:v>Reporting Repayments</x:v>
      </x:c>
      <x:c r="C342" s="57" t="n">
        <x:v>7</x:v>
      </x:c>
      <x:c r="D342" s="59" t="str">
        <x:v>Ref Loans</x:v>
      </x:c>
    </x:row>
    <x:row r="343" ht="15" customHeight="1">
      <x:c r="A343" s="57" t="str">
        <x:v>OLAP</x:v>
      </x:c>
      <x:c r="B343" s="59" t="str">
        <x:v>Reporting Repayments</x:v>
      </x:c>
      <x:c r="C343" s="57" t="n">
        <x:v>8</x:v>
      </x:c>
      <x:c r="D343" s="59" t="str">
        <x:v>Ref Charges</x:v>
      </x:c>
    </x:row>
    <x:row r="344" ht="15" customHeight="1">
      <x:c r="A344" s="57" t="str">
        <x:v>OLAP</x:v>
      </x:c>
      <x:c r="B344" s="59" t="str">
        <x:v>Reporting Statistics</x:v>
      </x:c>
      <x:c r="C344" s="57" t="n">
        <x:v>1</x:v>
      </x:c>
      <x:c r="D344" s="59" t="str">
        <x:v>_RowNumber</x:v>
      </x:c>
    </x:row>
    <x:row r="345" ht="15" customHeight="1">
      <x:c r="A345" s="57" t="str">
        <x:v>OLAP</x:v>
      </x:c>
      <x:c r="B345" s="59" t="str">
        <x:v>Reporting Statistics</x:v>
      </x:c>
      <x:c r="C345" s="57" t="n">
        <x:v>2</x:v>
      </x:c>
      <x:c r="D345" s="59" t="str">
        <x:v>Row ID</x:v>
      </x:c>
    </x:row>
    <x:row r="346">
      <x:c r="A346" s="57" t="str">
        <x:v>OLAP</x:v>
      </x:c>
      <x:c r="B346" s="59" t="str">
        <x:v>Reporting Statistics</x:v>
      </x:c>
      <x:c r="C346" s="57" t="n">
        <x:v>3</x:v>
      </x:c>
      <x:c r="D346" s="59" t="str">
        <x:v>Outstanding Principal</x:v>
      </x:c>
    </x:row>
    <x:row r="347">
      <x:c r="A347" s="57" t="str">
        <x:v>OLAP</x:v>
      </x:c>
      <x:c r="B347" s="59" t="str">
        <x:v>Reporting Statistics</x:v>
      </x:c>
      <x:c r="C347" s="57" t="n">
        <x:v>4</x:v>
      </x:c>
      <x:c r="D347" s="59" t="str">
        <x:v>Active Loans</x:v>
      </x:c>
    </x:row>
    <x:row r="348">
      <x:c r="A348" s="57" t="str">
        <x:v>OLAP</x:v>
      </x:c>
      <x:c r="B348" s="59" t="str">
        <x:v>Reporting Statistics</x:v>
      </x:c>
      <x:c r="C348" s="57" t="n">
        <x:v>5</x:v>
      </x:c>
      <x:c r="D348" s="59" t="str">
        <x:v>Realized Profit MTD</x:v>
      </x:c>
    </x:row>
    <x:row r="349">
      <x:c r="A349" s="57" t="str">
        <x:v>OLAP</x:v>
      </x:c>
      <x:c r="B349" s="59" t="str">
        <x:v>Reporting Statistics</x:v>
      </x:c>
      <x:c r="C349" s="57" t="n">
        <x:v>6</x:v>
      </x:c>
      <x:c r="D349" s="59" t="str">
        <x:v>Projected Monthly Profit</x:v>
      </x:c>
    </x:row>
    <x:row r="350">
      <x:c r="A350" s="57" t="str">
        <x:v>OLAP</x:v>
      </x:c>
      <x:c r="B350" s="59" t="str">
        <x:v>Reporting Statistics</x:v>
      </x:c>
      <x:c r="C350" s="57" t="n">
        <x:v>7</x:v>
      </x:c>
      <x:c r="D350" s="59" t="str">
        <x:v>Peak Cash Pool Date 30D</x:v>
      </x:c>
    </x:row>
    <x:row r="351">
      <x:c r="A351" s="57" t="str">
        <x:v>OLAP</x:v>
      </x:c>
      <x:c r="B351" s="59" t="str">
        <x:v>Reporting Statistics</x:v>
      </x:c>
      <x:c r="C351" s="57" t="n">
        <x:v>8</x:v>
      </x:c>
      <x:c r="D351" s="59" t="str">
        <x:v>Expected Daily Interest</x:v>
      </x:c>
    </x:row>
    <x:row r="352">
      <x:c r="A352" s="57" t="str">
        <x:v>OLAP</x:v>
      </x:c>
      <x:c r="B352" s="59" t="str">
        <x:v>Reporting Statistics</x:v>
      </x:c>
      <x:c r="C352" s="57" t="n">
        <x:v>9</x:v>
      </x:c>
      <x:c r="D352" s="59" t="str">
        <x:v>Total Cash Pool</x:v>
      </x:c>
    </x:row>
    <x:row r="353">
      <x:c r="A353" s="57" t="str">
        <x:v>OLAP</x:v>
      </x:c>
      <x:c r="B353" s="59" t="str">
        <x:v>Reporting Statistics</x:v>
      </x:c>
      <x:c r="C353" s="57" t="n">
        <x:v>10</x:v>
      </x:c>
      <x:c r="D353" s="59" t="str">
        <x:v>Total Unsettled Profit</x:v>
      </x:c>
    </x:row>
    <x:row r="354">
      <x:c r="A354" s="57" t="str">
        <x:v>OLAP</x:v>
      </x:c>
      <x:c r="B354" s="59" t="str">
        <x:v>Reporting Statistics</x:v>
      </x:c>
      <x:c r="C354" s="57" t="n">
        <x:v>11</x:v>
      </x:c>
      <x:c r="D354" s="59" t="str">
        <x:v>Expected Loan Account Balance</x:v>
      </x:c>
    </x:row>
    <x:row r="355">
      <x:c r="A355" s="57" t="str">
        <x:v>OLAP</x:v>
      </x:c>
      <x:c r="B355" s="59" t="str">
        <x:v>Reporting Statistics</x:v>
      </x:c>
      <x:c r="C355" s="57" t="n">
        <x:v>12</x:v>
      </x:c>
      <x:c r="D355" s="59" t="str">
        <x:v>Top 3 Borrower Concentration</x:v>
      </x:c>
    </x:row>
    <x:row r="356">
      <x:c r="A356" s="57" t="str">
        <x:v>OLAP</x:v>
      </x:c>
      <x:c r="B356" s="59" t="str">
        <x:v>Reporting Statistics</x:v>
      </x:c>
      <x:c r="C356" s="57" t="n">
        <x:v>13</x:v>
      </x:c>
      <x:c r="D356" s="59" t="str">
        <x:v>Amount Due Today</x:v>
      </x:c>
    </x:row>
    <x:row r="357">
      <x:c r="A357" t="str">
        <x:v>OLAP</x:v>
      </x:c>
      <x:c r="B357" t="str">
        <x:v>Reporting Statistics</x:v>
      </x:c>
      <x:c r="C357" t="n">
        <x:v>14</x:v>
      </x:c>
      <x:c r="D357" t="str">
        <x:v>Amount Collected Today</x:v>
      </x:c>
    </x:row>
    <x:row r="358">
      <x:c r="A358" t="str">
        <x:v>OLAP</x:v>
      </x:c>
      <x:c r="B358" t="str">
        <x:v>Reporting Statistics</x:v>
      </x:c>
      <x:c r="C358" t="n">
        <x:v>15</x:v>
      </x:c>
      <x:c r="D358" t="str">
        <x:v>Amount Outstanding Today</x:v>
      </x:c>
    </x:row>
    <x:row r="359">
      <x:c r="A359" t="str">
        <x:v>OLAP</x:v>
      </x:c>
      <x:c r="B359" t="str">
        <x:v>Reporting Statistics</x:v>
      </x:c>
      <x:c r="C359" t="n">
        <x:v>16</x:v>
      </x:c>
      <x:c r="D359" t="str">
        <x:v>Amount Collection Rate Today</x:v>
      </x:c>
    </x:row>
    <x:row r="360">
      <x:c r="A360" t="str">
        <x:v>OLAP</x:v>
      </x:c>
      <x:c r="B360" t="str">
        <x:v>Reporting Statistics</x:v>
      </x:c>
      <x:c r="C360" t="n">
        <x:v>17</x:v>
      </x:c>
      <x:c r="D360" t="str">
        <x:v>Total Outstanding Principal</x:v>
      </x:c>
    </x:row>
    <x:row r="361">
      <x:c r="A361" t="str">
        <x:v>OLAP</x:v>
      </x:c>
      <x:c r="B361" t="str">
        <x:v>Reporting Borrowers</x:v>
      </x:c>
      <x:c r="C361" t="n">
        <x:v>41</x:v>
      </x:c>
      <x:c r="D361" t="str">
        <x:v>Matrix Active Borrower Count</x:v>
      </x:c>
    </x:row>
    <x:row r="362">
      <x:c r="A362" t="str">
        <x:v>OLAP</x:v>
      </x:c>
      <x:c r="B362" t="str">
        <x:v>Reporting Borrowers</x:v>
      </x:c>
      <x:c r="C362" t="n">
        <x:v>42</x:v>
      </x:c>
      <x:c r="D362" t="str">
        <x:v>Matrix Equal Share Benchmark</x:v>
      </x:c>
    </x:row>
    <x:row r="363">
      <x:c r="A363" t="str">
        <x:v>OLAP</x:v>
      </x:c>
      <x:c r="B363" t="str">
        <x:v>Reporting Borrowers</x:v>
      </x:c>
      <x:c r="C363" t="n">
        <x:v>43</x:v>
      </x:c>
      <x:c r="D363" t="str">
        <x:v>Matrix Economic Contribution</x:v>
      </x:c>
    </x:row>
    <x:row r="364">
      <x:c r="A364" t="str">
        <x:v>OLAP</x:v>
      </x:c>
      <x:c r="B364" t="str">
        <x:v>Reporting Borrowers</x:v>
      </x:c>
      <x:c r="C364" t="n">
        <x:v>44</x:v>
      </x:c>
      <x:c r="D364" t="str">
        <x:v>Matrix Recent Reliability Score</x:v>
      </x:c>
    </x:row>
    <x:row r="365">
      <x:c r="A365" t="str">
        <x:v>OLAP</x:v>
      </x:c>
      <x:c r="B365" t="str">
        <x:v>Reporting Borrowers</x:v>
      </x:c>
      <x:c r="C365" t="n">
        <x:v>45</x:v>
      </x:c>
      <x:c r="D365" t="str">
        <x:v>Matrix Historical Reliability Score</x:v>
      </x:c>
    </x:row>
    <x:row r="366">
      <x:c r="A366" t="str">
        <x:v>OLAP</x:v>
      </x:c>
      <x:c r="B366" t="str">
        <x:v>Reporting Borrowers</x:v>
      </x:c>
      <x:c r="C366" t="n">
        <x:v>46</x:v>
      </x:c>
      <x:c r="D366" t="str">
        <x:v>Matrix Delay Severity Score</x:v>
      </x:c>
    </x:row>
    <x:row r="367">
      <x:c r="A367" t="str">
        <x:v>OLAP</x:v>
      </x:c>
      <x:c r="B367" t="str">
        <x:v>Reporting Borrowers</x:v>
      </x:c>
      <x:c r="C367" t="n">
        <x:v>47</x:v>
      </x:c>
      <x:c r="D367" t="str">
        <x:v>Matrix Current Condition Score</x:v>
      </x:c>
    </x:row>
    <x:row r="368">
      <x:c r="A368" t="str">
        <x:v>OLAP</x:v>
      </x:c>
      <x:c r="B368" t="str">
        <x:v>Reporting Borrowers</x:v>
      </x:c>
      <x:c r="C368" t="n">
        <x:v>48</x:v>
      </x:c>
      <x:c r="D368" t="str">
        <x:v>Matrix History Sufficient</x:v>
      </x:c>
    </x:row>
    <x:row r="369">
      <x:c r="A369" t="str">
        <x:v>OLAP</x:v>
      </x:c>
      <x:c r="B369" t="str">
        <x:v>Reporting Borrowers</x:v>
      </x:c>
      <x:c r="C369" t="n">
        <x:v>49</x:v>
      </x:c>
      <x:c r="D369" t="str">
        <x:v>Matrix Stability Score</x:v>
      </x:c>
    </x:row>
    <x:row r="370">
      <x:c r="A370" t="str">
        <x:v>OLAP</x:v>
      </x:c>
      <x:c r="B370" t="str">
        <x:v>Reporting Borrowers</x:v>
      </x:c>
      <x:c r="C370" t="n">
        <x:v>50</x:v>
      </x:c>
      <x:c r="D370" t="str">
        <x:v>Matrix Quadrant</x:v>
      </x:c>
    </x:row>
    <x:row r="371">
      <x:c r="A371" t="str">
        <x:v>OLAP</x:v>
      </x:c>
      <x:c r="B371" t="str">
        <x:v>Reporting Borrowers</x:v>
      </x:c>
      <x:c r="C371" t="n">
        <x:v>51</x:v>
      </x:c>
      <x:c r="D371" t="str">
        <x:v>Matrix Bubble Label</x:v>
      </x:c>
    </x:row>
    <x:row r="372">
      <x:c r="A372" t="str">
        <x:v>OLAP</x:v>
      </x:c>
      <x:c r="B372" t="str">
        <x:v>Todays Collection Board</x:v>
      </x:c>
      <x:c r="C372" t="n">
        <x:v>1</x:v>
      </x:c>
      <x:c r="D372" t="str">
        <x:v>_RowNumber</x:v>
      </x:c>
    </x:row>
    <x:row r="373">
      <x:c r="A373" t="str">
        <x:v>OLAP</x:v>
      </x:c>
      <x:c r="B373" t="str">
        <x:v>Todays Collection Board</x:v>
      </x:c>
      <x:c r="C373" t="n">
        <x:v>2</x:v>
      </x:c>
      <x:c r="D373" t="str">
        <x:v>Row ID</x:v>
      </x:c>
    </x:row>
    <x:row r="374">
      <x:c r="A374" t="str">
        <x:v>OLAP</x:v>
      </x:c>
      <x:c r="B374" t="str">
        <x:v>Todays Collection Board</x:v>
      </x:c>
      <x:c r="C374" t="n">
        <x:v>3</x:v>
      </x:c>
      <x:c r="D374" t="str">
        <x:v>Borrower Name</x:v>
      </x:c>
    </x:row>
    <x:row r="375">
      <x:c r="A375" t="str">
        <x:v>OLAP</x:v>
      </x:c>
      <x:c r="B375" t="str">
        <x:v>Todays Collection Board</x:v>
      </x:c>
      <x:c r="C375" t="n">
        <x:v>4</x:v>
      </x:c>
      <x:c r="D375" t="str">
        <x:v>Description</x:v>
      </x:c>
    </x:row>
    <x:row r="376">
      <x:c r="A376" t="str">
        <x:v>OLAP</x:v>
      </x:c>
      <x:c r="B376" t="str">
        <x:v>Todays Collection Board</x:v>
      </x:c>
      <x:c r="C376" t="n">
        <x:v>5</x:v>
      </x:c>
      <x:c r="D376" t="str">
        <x:v>Hidden Flag</x:v>
      </x:c>
    </x:row>
    <x:row r="377">
      <x:c r="A377" t="str">
        <x:v>OLAP</x:v>
      </x:c>
      <x:c r="B377" t="str">
        <x:v>Todays Collection Board</x:v>
      </x:c>
      <x:c r="C377" t="n">
        <x:v>6</x:v>
      </x:c>
      <x:c r="D377" t="str">
        <x:v>Daily Collection Status</x:v>
      </x:c>
    </x:row>
    <x:row r="378">
      <x:c r="A378" t="str">
        <x:v>OLAP</x:v>
      </x:c>
      <x:c r="B378" t="str">
        <x:v>Todays Collection Board</x:v>
      </x:c>
      <x:c r="C378" t="n">
        <x:v>7</x:v>
      </x:c>
      <x:c r="D378" t="str">
        <x:v>Todays Collection Charges</x:v>
      </x:c>
    </x:row>
    <x:row r="379">
      <x:c r="A379" t="str">
        <x:v>OLAP</x:v>
      </x:c>
      <x:c r="B379" t="str">
        <x:v>Todays Collection Board</x:v>
      </x:c>
      <x:c r="C379" t="n">
        <x:v>8</x:v>
      </x:c>
      <x:c r="D379" t="str">
        <x:v>Todays Amount Due</x:v>
      </x:c>
    </x:row>
    <x:row r="380">
      <x:c r="A380" t="str">
        <x:v>OLAP</x:v>
      </x:c>
      <x:c r="B380" t="str">
        <x:v>Todays Collection Board</x:v>
      </x:c>
      <x:c r="C380" t="n">
        <x:v>9</x:v>
      </x:c>
      <x:c r="D380" t="str">
        <x:v>Todays Amount Collected</x:v>
      </x:c>
    </x:row>
    <x:row r="381">
      <x:c r="A381" t="str">
        <x:v>OLAP</x:v>
      </x:c>
      <x:c r="B381" t="str">
        <x:v>Todays Collection Board</x:v>
      </x:c>
      <x:c r="C381" t="n">
        <x:v>10</x:v>
      </x:c>
      <x:c r="D381" t="str">
        <x:v>Todays Amount Remaining</x:v>
      </x:c>
    </x:row>
    <x:row r="382">
      <x:c r="A382" t="str">
        <x:v>OLAP</x:v>
      </x:c>
      <x:c r="B382" t="str">
        <x:v>Todays Collection Board</x:v>
      </x:c>
      <x:c r="C382" t="n">
        <x:v>11</x:v>
      </x:c>
      <x:c r="D382" t="str">
        <x:v>Overdue Amount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fb9d440a336460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8" customWidth="1"/>
    <x:col min="3" max="3" width="38" customWidth="1"/>
    <x:col min="4" max="4" width="16" customWidth="1"/>
    <x:col min="5" max="5" width="16" customWidth="1"/>
    <x:col min="6" max="6" width="68" customWidth="1"/>
  </x:cols>
  <x:sheetData>
    <x:row r="1" ht="30" customHeight="1">
      <x:c r="A1" s="3" t="str">
        <x:v>Application Variances</x:v>
      </x:c>
      <x:c r="B1"/>
      <x:c r="C1"/>
      <x:c r="D1"/>
      <x:c r="E1"/>
      <x:c r="F1"/>
    </x:row>
    <x:row r="2" ht="30" customHeight="1">
      <x:c r="A2" s="7" t="str">
        <x:v>Universal payment tables and trace VCs are OLTP-only. OLAP v1.100012 retains its earlier loaded schema; live client and governed recent snapshots were checked after synthetic cleanup.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 ht="30" customHeight="1">
      <x:c r="A4" s="50" t="str">
        <x:v>Object Type</x:v>
      </x:c>
      <x:c r="B4" s="51" t="str">
        <x:v>Table</x:v>
      </x:c>
      <x:c r="C4" s="51" t="str">
        <x:v>Object</x:v>
      </x:c>
      <x:c r="D4" s="51" t="str">
        <x:v>OLTP Presence</x:v>
      </x:c>
      <x:c r="E4" s="51" t="str">
        <x:v>OLAP Presence</x:v>
      </x:c>
      <x:c r="F4" s="52" t="str">
        <x:v>Notes</x:v>
      </x:c>
    </x:row>
    <x:row r="5" ht="15" customHeight="1">
      <x:c r="A5" s="56" t="str">
        <x:v>Table</x:v>
      </x:c>
      <x:c r="B5" s="56" t="str">
        <x:v>Calendar</x:v>
      </x:c>
      <x:c r="C5" s="58" t="str">
        <x:v>Calendar</x:v>
      </x:c>
      <x:c r="D5" s="56" t="str">
        <x:v>No</x:v>
      </x:c>
      <x:c r="E5" s="56" t="str">
        <x:v>Yes</x:v>
      </x:c>
      <x:c r="F5" s="58" t="str">
        <x:v>Google Sheets-backed date spine used by OLAP loan-assessment projections; not part of Money database.</x:v>
      </x:c>
    </x:row>
    <x:row r="6" ht="15" customHeight="1">
      <x:c r="A6" s="57" t="str">
        <x:v>Table</x:v>
      </x:c>
      <x:c r="B6" s="57" t="str">
        <x:v>Cash Pool Contributions</x:v>
      </x:c>
      <x:c r="C6" s="59" t="str">
        <x:v>Cash Pool Contributions</x:v>
      </x:c>
      <x:c r="D6" s="57" t="str">
        <x:v>No</x:v>
      </x:c>
      <x:c r="E6" s="57" t="str">
        <x:v>Yes</x:v>
      </x:c>
      <x:c r="F6" s="59" t="str">
        <x:v>Partner capital-contribution movements that build the lendable cash pool.</x:v>
      </x:c>
    </x:row>
    <x:row r="7" ht="15" customHeight="1">
      <x:c r="A7" s="57" t="str">
        <x:v>Table</x:v>
      </x:c>
      <x:c r="B7" s="57" t="str">
        <x:v>Daily Analytics</x:v>
      </x:c>
      <x:c r="C7" s="59" t="str">
        <x:v>Daily Analytics</x:v>
      </x:c>
      <x:c r="D7" s="57" t="str">
        <x:v>No</x:v>
      </x:c>
      <x:c r="E7" s="57" t="str">
        <x:v>Yes</x:v>
      </x:c>
      <x:c r="F7" s="59" t="str">
        <x:v>Persisted daily portfolio snapshot fact table for historical reporting and governed feeds.</x:v>
      </x:c>
    </x:row>
    <x:row r="8" ht="15" customHeight="1">
      <x:c r="A8" s="57" t="str">
        <x:v>Table</x:v>
      </x:c>
      <x:c r="B8" s="57" t="str">
        <x:v>Loan Assessment</x:v>
      </x:c>
      <x:c r="C8" s="59" t="str">
        <x:v>Loan Assessment</x:v>
      </x:c>
      <x:c r="D8" s="57" t="str">
        <x:v>No</x:v>
      </x:c>
      <x:c r="E8" s="57" t="str">
        <x:v>Yes</x:v>
      </x:c>
      <x:c r="F8" s="59" t="str">
        <x:v>Input/control record for evaluating a proposed loan against projected coverage and return.</x:v>
      </x:c>
    </x:row>
    <x:row r="9" ht="15" customHeight="1">
      <x:c r="A9" s="57" t="str">
        <x:v>Table</x:v>
      </x:c>
      <x:c r="B9" s="57" t="str">
        <x:v>Settlements</x:v>
      </x:c>
      <x:c r="C9" s="59" t="str">
        <x:v>Settlements</x:v>
      </x:c>
      <x:c r="D9" s="57" t="str">
        <x:v>No</x:v>
      </x:c>
      <x:c r="E9" s="57" t="str">
        <x:v>Yes</x:v>
      </x:c>
      <x:c r="F9" s="59" t="str">
        <x:v>Auditable partner settlement records and settlement status.</x:v>
      </x:c>
    </x:row>
    <x:row r="10" ht="15" customHeight="1">
      <x:c r="A10" s="57" t="str">
        <x:v>Column</x:v>
      </x:c>
      <x:c r="B10" s="57" t="str">
        <x:v>Borrowers</x:v>
      </x:c>
      <x:c r="C10" s="59" t="str">
        <x:v>Profit Last 30 Days</x:v>
      </x:c>
      <x:c r="D10" s="57" t="str">
        <x:v>No</x:v>
      </x:c>
      <x:c r="E10" s="57" t="str">
        <x:v>Yes</x:v>
      </x:c>
      <x:c r="F10" s="59" t="str">
        <x:v>Derived date, time-window, age, or delinquency measure.</x:v>
      </x:c>
    </x:row>
    <x:row r="11" ht="15" customHeight="1">
      <x:c r="A11" s="57" t="str">
        <x:v>Column</x:v>
      </x:c>
      <x:c r="B11" s="57" t="str">
        <x:v>Borrowers</x:v>
      </x:c>
      <x:c r="C11" s="59" t="str">
        <x:v>Related Loan Assessments</x:v>
      </x:c>
      <x:c r="D11" s="57" t="str">
        <x:v>No</x:v>
      </x:c>
      <x:c r="E11" s="57" t="str">
        <x:v>Yes</x:v>
      </x:c>
      <x:c r="F11" s="59" t="str">
        <x:v>Reverse-reference list of child rows that point to this record.</x:v>
      </x:c>
    </x:row>
    <x:row r="12" ht="15" customHeight="1">
      <x:c r="A12" s="57" t="str">
        <x:v>Column</x:v>
      </x:c>
      <x:c r="B12" s="57" t="str">
        <x:v>Borrowers</x:v>
      </x:c>
      <x:c r="C12" s="59" t="str">
        <x:v>Related Calendars</x:v>
      </x:c>
      <x:c r="D12" s="57" t="str">
        <x:v>No</x:v>
      </x:c>
      <x:c r="E12" s="57" t="str">
        <x:v>Yes</x:v>
      </x:c>
      <x:c r="F12" s="59" t="str">
        <x:v>Reverse-reference list of child rows that point to this record.</x:v>
      </x:c>
    </x:row>
    <x:row r="13" ht="15" customHeight="1">
      <x:c r="A13" s="57" t="str">
        <x:v>Column</x:v>
      </x:c>
      <x:c r="B13" s="57" t="str">
        <x:v>Borrowers</x:v>
      </x:c>
      <x:c r="C13" s="59" t="str">
        <x:v>30D Gross Principal Days</x:v>
      </x:c>
      <x:c r="D13" s="57" t="str">
        <x:v>No</x:v>
      </x:c>
      <x:c r="E13" s="57" t="str">
        <x:v>Yes</x:v>
      </x:c>
      <x:c r="F13" s="59" t="str">
        <x:v>Derived date, time-window, age, or delinquency measure.</x:v>
      </x:c>
    </x:row>
    <x:row r="14" ht="15" customHeight="1">
      <x:c r="A14" s="57" t="str">
        <x:v>Column</x:v>
      </x:c>
      <x:c r="B14" s="57" t="str">
        <x:v>Borrowers</x:v>
      </x:c>
      <x:c r="C14" s="59" t="str">
        <x:v>30D Principal Reduction Days</x:v>
      </x:c>
      <x:c r="D14" s="57" t="str">
        <x:v>No</x:v>
      </x:c>
      <x:c r="E14" s="57" t="str">
        <x:v>Yes</x:v>
      </x:c>
      <x:c r="F14" s="59" t="str">
        <x:v>Derived date, time-window, age, or delinquency measure.</x:v>
      </x:c>
    </x:row>
    <x:row r="15" ht="15" customHeight="1">
      <x:c r="A15" s="57" t="str">
        <x:v>Column</x:v>
      </x:c>
      <x:c r="B15" s="57" t="str">
        <x:v>Borrowers</x:v>
      </x:c>
      <x:c r="C15" s="59" t="str">
        <x:v>30D Average Outstanding Principal</x:v>
      </x:c>
      <x:c r="D15" s="57" t="str">
        <x:v>No</x:v>
      </x:c>
      <x:c r="E15" s="57" t="str">
        <x:v>Yes</x:v>
      </x:c>
      <x:c r="F15" s="59" t="str">
        <x:v>Derived date, time-window, age, or delinquency measure.</x:v>
      </x:c>
    </x:row>
    <x:row r="16" ht="15" customHeight="1">
      <x:c r="A16" s="57" t="str">
        <x:v>Column</x:v>
      </x:c>
      <x:c r="B16" s="57" t="str">
        <x:v>Borrowers</x:v>
      </x:c>
      <x:c r="C16" s="59" t="str">
        <x:v>30D Return on Average Principal</x:v>
      </x:c>
      <x:c r="D16" s="57" t="str">
        <x:v>No</x:v>
      </x:c>
      <x:c r="E16" s="57" t="str">
        <x:v>Yes</x:v>
      </x:c>
      <x:c r="F16" s="59" t="str">
        <x:v>Derived ratio or performance measure calculated from governed source values.</x:v>
      </x:c>
    </x:row>
    <x:row r="17" ht="15" customHeight="1">
      <x:c r="A17" s="57" t="str">
        <x:v>Column</x:v>
      </x:c>
      <x:c r="B17" s="57" t="str">
        <x:v>Borrowers</x:v>
      </x:c>
      <x:c r="C17" s="59" t="str">
        <x:v>Portfolio Exposure %</x:v>
      </x:c>
      <x:c r="D17" s="57" t="str">
        <x:v>No</x:v>
      </x:c>
      <x:c r="E17" s="57" t="str">
        <x:v>Yes</x:v>
      </x:c>
      <x:c r="F17" s="59" t="str">
        <x:v>Derived ratio or performance measure calculated from governed source values.</x:v>
      </x:c>
    </x:row>
    <x:row r="18" ht="15" customHeight="1">
      <x:c r="A18" s="57" t="str">
        <x:v>Column</x:v>
      </x:c>
      <x:c r="B18" s="57" t="str">
        <x:v>Borrowers</x:v>
      </x:c>
      <x:c r="C18" s="59" t="str">
        <x:v>Active Loan Count</x:v>
      </x:c>
      <x:c r="D18" s="57" t="str">
        <x:v>No</x:v>
      </x:c>
      <x:c r="E18" s="57" t="str">
        <x:v>Yes</x:v>
      </x:c>
      <x:c r="F18" s="59" t="str">
        <x:v>Derived count used for workload, portfolio, or risk analysis.</x:v>
      </x:c>
    </x:row>
    <x:row r="19" ht="15" customHeight="1">
      <x:c r="A19" s="57" t="str">
        <x:v>Column</x:v>
      </x:c>
      <x:c r="B19" s="57" t="str">
        <x:v>Borrowers</x:v>
      </x:c>
      <x:c r="C19" s="59" t="str">
        <x:v>Oldest Active Loan Age</x:v>
      </x:c>
      <x:c r="D19" s="57" t="str">
        <x:v>No</x:v>
      </x:c>
      <x:c r="E19" s="57" t="str">
        <x:v>Yes</x:v>
      </x:c>
      <x:c r="F19" s="59" t="str">
        <x:v>Derived date, time-window, age, or delinquency measure.</x:v>
      </x:c>
    </x:row>
    <x:row r="20" ht="15" customHeight="1">
      <x:c r="A20" s="57" t="str">
        <x:v>Column</x:v>
      </x:c>
      <x:c r="B20" s="57" t="str">
        <x:v>Borrowers</x:v>
      </x:c>
      <x:c r="C20" s="59" t="str">
        <x:v>Overdue Amount</x:v>
      </x:c>
      <x:c r="D20" s="57" t="str">
        <x:v>No</x:v>
      </x:c>
      <x:c r="E20" s="57" t="str">
        <x:v>Yes</x:v>
      </x:c>
      <x:c r="F20" s="59" t="str">
        <x:v>Derived financial aggregate or balance for operational or analytical use.</x:v>
      </x:c>
    </x:row>
    <x:row r="21" ht="15" customHeight="1">
      <x:c r="A21" s="57" t="str">
        <x:v>Column</x:v>
      </x:c>
      <x:c r="B21" s="57" t="str">
        <x:v>Borrowers</x:v>
      </x:c>
      <x:c r="C21" s="59" t="str">
        <x:v>Overdue Charge Count</x:v>
      </x:c>
      <x:c r="D21" s="57" t="str">
        <x:v>No</x:v>
      </x:c>
      <x:c r="E21" s="57" t="str">
        <x:v>Yes</x:v>
      </x:c>
      <x:c r="F21" s="59" t="str">
        <x:v>Derived count used for workload, portfolio, or risk analysis.</x:v>
      </x:c>
    </x:row>
    <x:row r="22" ht="15" customHeight="1">
      <x:c r="A22" s="57" t="str">
        <x:v>Column</x:v>
      </x:c>
      <x:c r="B22" s="57" t="str">
        <x:v>Borrowers</x:v>
      </x:c>
      <x:c r="C22" s="59" t="str">
        <x:v>Historical Charge Count</x:v>
      </x:c>
      <x:c r="D22" s="57" t="str">
        <x:v>No</x:v>
      </x:c>
      <x:c r="E22" s="57" t="str">
        <x:v>Yes</x:v>
      </x:c>
      <x:c r="F22" s="59" t="str">
        <x:v>Derived count used for workload, portfolio, or risk analysis.</x:v>
      </x:c>
    </x:row>
    <x:row r="23" ht="15" customHeight="1">
      <x:c r="A23" s="57" t="str">
        <x:v>Column</x:v>
      </x:c>
      <x:c r="B23" s="57" t="str">
        <x:v>Borrowers</x:v>
      </x:c>
      <x:c r="C23" s="59" t="str">
        <x:v>On Time Charge Count</x:v>
      </x:c>
      <x:c r="D23" s="57" t="str">
        <x:v>No</x:v>
      </x:c>
      <x:c r="E23" s="57" t="str">
        <x:v>Yes</x:v>
      </x:c>
      <x:c r="F23" s="59" t="str">
        <x:v>Derived count used for workload, portfolio, or risk analysis.</x:v>
      </x:c>
    </x:row>
    <x:row r="24" ht="15" customHeight="1">
      <x:c r="A24" s="57" t="str">
        <x:v>Column</x:v>
      </x:c>
      <x:c r="B24" s="57" t="str">
        <x:v>Borrowers</x:v>
      </x:c>
      <x:c r="C24" s="59" t="str">
        <x:v>Lifetime On Time Rate</x:v>
      </x:c>
      <x:c r="D24" s="57" t="str">
        <x:v>No</x:v>
      </x:c>
      <x:c r="E24" s="57" t="str">
        <x:v>Yes</x:v>
      </x:c>
      <x:c r="F24" s="59" t="str">
        <x:v>Derived ratio or performance measure calculated from governed source values.</x:v>
      </x:c>
    </x:row>
    <x:row r="25" ht="15" customHeight="1">
      <x:c r="A25" s="57" t="str">
        <x:v>Column</x:v>
      </x:c>
      <x:c r="B25" s="57" t="str">
        <x:v>Borrowers</x:v>
      </x:c>
      <x:c r="C25" s="59" t="str">
        <x:v>Recent 30D Charge Count</x:v>
      </x:c>
      <x:c r="D25" s="57" t="str">
        <x:v>No</x:v>
      </x:c>
      <x:c r="E25" s="57" t="str">
        <x:v>Yes</x:v>
      </x:c>
      <x:c r="F25" s="59" t="str">
        <x:v>Derived count used for workload, portfolio, or risk analysis.</x:v>
      </x:c>
    </x:row>
    <x:row r="26" ht="15" customHeight="1">
      <x:c r="A26" s="57" t="str">
        <x:v>Column</x:v>
      </x:c>
      <x:c r="B26" s="57" t="str">
        <x:v>Borrowers</x:v>
      </x:c>
      <x:c r="C26" s="59" t="str">
        <x:v>Recent 30D On Time Count</x:v>
      </x:c>
      <x:c r="D26" s="57" t="str">
        <x:v>No</x:v>
      </x:c>
      <x:c r="E26" s="57" t="str">
        <x:v>Yes</x:v>
      </x:c>
      <x:c r="F26" s="59" t="str">
        <x:v>Derived count used for workload, portfolio, or risk analysis.</x:v>
      </x:c>
    </x:row>
    <x:row r="27" ht="15" customHeight="1">
      <x:c r="A27" s="57" t="str">
        <x:v>Column</x:v>
      </x:c>
      <x:c r="B27" s="57" t="str">
        <x:v>Borrowers</x:v>
      </x:c>
      <x:c r="C27" s="59" t="str">
        <x:v>Recent 30D On Time Rate</x:v>
      </x:c>
      <x:c r="D27" s="57" t="str">
        <x:v>No</x:v>
      </x:c>
      <x:c r="E27" s="57" t="str">
        <x:v>Yes</x:v>
      </x:c>
      <x:c r="F27" s="59" t="str">
        <x:v>Derived ratio or performance measure calculated from governed source values.</x:v>
      </x:c>
    </x:row>
    <x:row r="28" ht="15" customHeight="1">
      <x:c r="A28" s="57" t="str">
        <x:v>Column</x:v>
      </x:c>
      <x:c r="B28" s="57" t="str">
        <x:v>Borrowers</x:v>
      </x:c>
      <x:c r="C28" s="59" t="str">
        <x:v>Lifetime Late Payment Count</x:v>
      </x:c>
      <x:c r="D28" s="57" t="str">
        <x:v>No</x:v>
      </x:c>
      <x:c r="E28" s="57" t="str">
        <x:v>Yes</x:v>
      </x:c>
      <x:c r="F28" s="59" t="str">
        <x:v>Derived count used for workload, portfolio, or risk analysis.</x:v>
      </x:c>
    </x:row>
    <x:row r="29" ht="15" customHeight="1">
      <x:c r="A29" s="57" t="str">
        <x:v>Column</x:v>
      </x:c>
      <x:c r="B29" s="57" t="str">
        <x:v>Borrowers</x:v>
      </x:c>
      <x:c r="C29" s="59" t="str">
        <x:v>Recent 30D Late Payment Count</x:v>
      </x:c>
      <x:c r="D29" s="57" t="str">
        <x:v>No</x:v>
      </x:c>
      <x:c r="E29" s="57" t="str">
        <x:v>Yes</x:v>
      </x:c>
      <x:c r="F29" s="59" t="str">
        <x:v>Derived count used for workload, portfolio, or risk analysis.</x:v>
      </x:c>
    </x:row>
    <x:row r="30" ht="15" customHeight="1">
      <x:c r="A30" s="57" t="str">
        <x:v>Column</x:v>
      </x:c>
      <x:c r="B30" s="57" t="str">
        <x:v>Borrowers</x:v>
      </x:c>
      <x:c r="C30" s="59" t="str">
        <x:v>Maximum Days Late</x:v>
      </x:c>
      <x:c r="D30" s="57" t="str">
        <x:v>No</x:v>
      </x:c>
      <x:c r="E30" s="57" t="str">
        <x:v>Yes</x:v>
      </x:c>
      <x:c r="F30" s="59" t="str">
        <x:v>Derived business-state or risk indicator.</x:v>
      </x:c>
    </x:row>
    <x:row r="31" ht="15" customHeight="1">
      <x:c r="A31" s="57" t="str">
        <x:v>Column</x:v>
      </x:c>
      <x:c r="B31" s="57" t="str">
        <x:v>Borrowers</x:v>
      </x:c>
      <x:c r="C31" s="59" t="str">
        <x:v>Last Late Payment Date</x:v>
      </x:c>
      <x:c r="D31" s="57" t="str">
        <x:v>No</x:v>
      </x:c>
      <x:c r="E31" s="57" t="str">
        <x:v>Yes</x:v>
      </x:c>
      <x:c r="F31" s="59" t="str">
        <x:v>Derived business-state or risk indicator.</x:v>
      </x:c>
    </x:row>
    <x:row r="32" ht="15" customHeight="1">
      <x:c r="A32" s="57" t="str">
        <x:v>Column</x:v>
      </x:c>
      <x:c r="B32" s="57" t="str">
        <x:v>Borrowers</x:v>
      </x:c>
      <x:c r="C32" s="59" t="str">
        <x:v>Largest Successful Loan</x:v>
      </x:c>
      <x:c r="D32" s="57" t="str">
        <x:v>No</x:v>
      </x:c>
      <x:c r="E32" s="57" t="str">
        <x:v>Yes</x:v>
      </x:c>
      <x:c r="F32" s="59" t="str">
        <x:v>Derived AppSheet value used by the app workflow, presentation, or reporting model.</x:v>
      </x:c>
    </x:row>
    <x:row r="33" ht="15" customHeight="1">
      <x:c r="A33" s="57" t="str">
        <x:v>Column</x:v>
      </x:c>
      <x:c r="B33" s="57" t="str">
        <x:v>Borrowers</x:v>
      </x:c>
      <x:c r="C33" s="59" t="str">
        <x:v>Average Successful Loan Size</x:v>
      </x:c>
      <x:c r="D33" s="57" t="str">
        <x:v>No</x:v>
      </x:c>
      <x:c r="E33" s="57" t="str">
        <x:v>Yes</x:v>
      </x:c>
      <x:c r="F33" s="59" t="str">
        <x:v>Derived date, time-window, age, or delinquency measure.</x:v>
      </x:c>
    </x:row>
    <x:row r="34" ht="15" customHeight="1">
      <x:c r="A34" s="57" t="str">
        <x:v>Column</x:v>
      </x:c>
      <x:c r="B34" s="57" t="str">
        <x:v>Borrowers</x:v>
      </x:c>
      <x:c r="C34" s="59" t="str">
        <x:v>Default Count</x:v>
      </x:c>
      <x:c r="D34" s="57" t="str">
        <x:v>No</x:v>
      </x:c>
      <x:c r="E34" s="57" t="str">
        <x:v>Yes</x:v>
      </x:c>
      <x:c r="F34" s="59" t="str">
        <x:v>Derived count used for workload, portfolio, or risk analysis.</x:v>
      </x:c>
    </x:row>
    <x:row r="35" ht="15" customHeight="1">
      <x:c r="A35" s="57" t="str">
        <x:v>Column</x:v>
      </x:c>
      <x:c r="B35" s="57" t="str">
        <x:v>Borrowers</x:v>
      </x:c>
      <x:c r="C35" s="59" t="str">
        <x:v>Lifetime Default Loss</x:v>
      </x:c>
      <x:c r="D35" s="57" t="str">
        <x:v>No</x:v>
      </x:c>
      <x:c r="E35" s="57" t="str">
        <x:v>Yes</x:v>
      </x:c>
      <x:c r="F35" s="59" t="str">
        <x:v>Derived AppSheet value used by the app workflow, presentation, or reporting model.</x:v>
      </x:c>
    </x:row>
    <x:row r="36" ht="15" customHeight="1">
      <x:c r="A36" s="57" t="str">
        <x:v>Column</x:v>
      </x:c>
      <x:c r="B36" s="57" t="str">
        <x:v>Borrowers</x:v>
      </x:c>
      <x:c r="C36" s="59" t="str">
        <x:v>Portfolio Outstanding Principal</x:v>
      </x:c>
      <x:c r="D36" s="57" t="str">
        <x:v>No</x:v>
      </x:c>
      <x:c r="E36" s="57" t="str">
        <x:v>Yes</x:v>
      </x:c>
      <x:c r="F36" s="59" t="str">
        <x:v>Derived financial aggregate or balance for operational or analytical use.</x:v>
      </x:c>
    </x:row>
    <x:row r="37" ht="15" customHeight="1">
      <x:c r="A37" s="57" t="str">
        <x:v>Column</x:v>
      </x:c>
      <x:c r="B37" s="57" t="str">
        <x:v>Borrowers</x:v>
      </x:c>
      <x:c r="C37" s="59" t="str">
        <x:v>Portfolio Share Join Key</x:v>
      </x:c>
      <x:c r="D37" s="57" t="str">
        <x:v>No</x:v>
      </x:c>
      <x:c r="E37" s="57" t="str">
        <x:v>Yes</x:v>
      </x:c>
      <x:c r="F37" s="59" t="str">
        <x:v>Derived grouping, ordering, or join value used by reporting or app presentation.</x:v>
      </x:c>
    </x:row>
    <x:row r="38" ht="15" customHeight="1">
      <x:c r="A38" s="57" t="str">
        <x:v>Column</x:v>
      </x:c>
      <x:c r="B38" s="57" t="str">
        <x:v>Borrowers</x:v>
      </x:c>
      <x:c r="C38" s="59" t="str">
        <x:v>Daily Collection Status - Order</x:v>
      </x:c>
      <x:c r="D38" s="57" t="str">
        <x:v>Yes</x:v>
      </x:c>
      <x:c r="E38" s="57" t="str">
        <x:v>No</x:v>
      </x:c>
      <x:c r="F38" s="59" t="str">
        <x:v>Derived grouping, ordering, or join value used by reporting or app presentation.</x:v>
      </x:c>
    </x:row>
    <x:row r="39" ht="15" customHeight="1">
      <x:c r="A39" s="57" t="str">
        <x:v>Column</x:v>
      </x:c>
      <x:c r="B39" s="57" t="str">
        <x:v>Borrowers</x:v>
      </x:c>
      <x:c r="C39" s="59" t="str">
        <x:v>Borrower Name - Collection</x:v>
      </x:c>
      <x:c r="D39" s="57" t="str">
        <x:v>Yes</x:v>
      </x:c>
      <x:c r="E39" s="57" t="str">
        <x:v>No</x:v>
      </x:c>
      <x:c r="F39" s="59" t="str">
        <x:v>Derived AppSheet value used by the app workflow, presentation, or reporting model.</x:v>
      </x:c>
    </x:row>
    <x:row r="40" ht="15" customHeight="1">
      <x:c r="A40" s="57" t="str">
        <x:v>Column</x:v>
      </x:c>
      <x:c r="B40" s="57" t="str">
        <x:v>Borrowers</x:v>
      </x:c>
      <x:c r="C40" s="59" t="str">
        <x:v>Active Profit After Principal Coverage</x:v>
      </x:c>
      <x:c r="D40" s="57" t="str">
        <x:v>Yes</x:v>
      </x:c>
      <x:c r="E40" s="57" t="str">
        <x:v>No</x:v>
      </x:c>
      <x:c r="F40" s="59" t="str">
        <x:v>OLTP-only Price VC: active interest earned minus outstanding principal; used in borrower detail.</x:v>
      </x:c>
    </x:row>
    <x:row r="41" ht="15" customHeight="1">
      <x:c r="A41" s="57" t="str">
        <x:v>Column</x:v>
      </x:c>
      <x:c r="B41" s="57" t="str">
        <x:v>Calendar</x:v>
      </x:c>
      <x:c r="C41" s="59" t="str">
        <x:v>_RowNumber</x:v>
      </x:c>
      <x:c r="D41" s="57" t="str">
        <x:v>No</x:v>
      </x:c>
      <x:c r="E41" s="57" t="str">
        <x:v>Yes</x:v>
      </x:c>
      <x:c r="F41" s="59" t="str">
        <x:v>System-generated source-row ordinal; not a stable business key.</x:v>
      </x:c>
    </x:row>
    <x:row r="42" ht="15" customHeight="1">
      <x:c r="A42" s="57" t="str">
        <x:v>Column</x:v>
      </x:c>
      <x:c r="B42" s="57" t="str">
        <x:v>Calendar</x:v>
      </x:c>
      <x:c r="C42" s="59" t="str">
        <x:v>Date</x:v>
      </x:c>
      <x:c r="D42" s="57" t="str">
        <x:v>No</x:v>
      </x:c>
      <x:c r="E42" s="57" t="str">
        <x:v>Yes</x:v>
      </x:c>
      <x:c r="F42" s="59" t="str">
        <x:v>Stores the source date for Date.</x:v>
      </x:c>
    </x:row>
    <x:row r="43" ht="15" customHeight="1">
      <x:c r="A43" s="57" t="str">
        <x:v>Column</x:v>
      </x:c>
      <x:c r="B43" s="57" t="str">
        <x:v>Calendar</x:v>
      </x:c>
      <x:c r="C43" s="59" t="str">
        <x:v>Assessment Proposed Amount</x:v>
      </x:c>
      <x:c r="D43" s="57" t="str">
        <x:v>No</x:v>
      </x:c>
      <x:c r="E43" s="57" t="str">
        <x:v>Yes</x:v>
      </x:c>
      <x:c r="F43" s="59" t="str">
        <x:v>Derived financial aggregate or balance for operational or analytical use.</x:v>
      </x:c>
    </x:row>
    <x:row r="44" ht="15" customHeight="1">
      <x:c r="A44" s="57" t="str">
        <x:v>Column</x:v>
      </x:c>
      <x:c r="B44" s="57" t="str">
        <x:v>Calendar</x:v>
      </x:c>
      <x:c r="C44" s="59" t="str">
        <x:v>Assessment Borrower</x:v>
      </x:c>
      <x:c r="D44" s="57" t="str">
        <x:v>No</x:v>
      </x:c>
      <x:c r="E44" s="57" t="str">
        <x:v>Yes</x:v>
      </x:c>
      <x:c r="F44" s="59" t="str">
        <x:v>Reference key that links this row to the configured parent table.</x:v>
      </x:c>
    </x:row>
    <x:row r="45" ht="15" customHeight="1">
      <x:c r="A45" s="57" t="str">
        <x:v>Column</x:v>
      </x:c>
      <x:c r="B45" s="57" t="str">
        <x:v>Calendar</x:v>
      </x:c>
      <x:c r="C45" s="59" t="str">
        <x:v>Assessment Minimum Rate</x:v>
      </x:c>
      <x:c r="D45" s="57" t="str">
        <x:v>No</x:v>
      </x:c>
      <x:c r="E45" s="57" t="str">
        <x:v>Yes</x:v>
      </x:c>
      <x:c r="F45" s="59" t="str">
        <x:v>Derived ratio or performance measure calculated from governed source values.</x:v>
      </x:c>
    </x:row>
    <x:row r="46" ht="15" customHeight="1">
      <x:c r="A46" s="57" t="str">
        <x:v>Column</x:v>
      </x:c>
      <x:c r="B46" s="57" t="str">
        <x:v>Calendar</x:v>
      </x:c>
      <x:c r="C46" s="59" t="str">
        <x:v>Projected Outstanding Principal</x:v>
      </x:c>
      <x:c r="D46" s="57" t="str">
        <x:v>No</x:v>
      </x:c>
      <x:c r="E46" s="57" t="str">
        <x:v>Yes</x:v>
      </x:c>
      <x:c r="F46" s="59" t="str">
        <x:v>Derived financial aggregate or balance for operational or analytical use.</x:v>
      </x:c>
    </x:row>
    <x:row r="47" ht="15" customHeight="1">
      <x:c r="A47" s="57" t="str">
        <x:v>Column</x:v>
      </x:c>
      <x:c r="B47" s="57" t="str">
        <x:v>Calendar</x:v>
      </x:c>
      <x:c r="C47" s="59" t="str">
        <x:v>Projected Interest</x:v>
      </x:c>
      <x:c r="D47" s="57" t="str">
        <x:v>No</x:v>
      </x:c>
      <x:c r="E47" s="57" t="str">
        <x:v>Yes</x:v>
      </x:c>
      <x:c r="F47" s="59" t="str">
        <x:v>Derived financial aggregate or balance for operational or analytical use.</x:v>
      </x:c>
    </x:row>
    <x:row r="48" ht="15" customHeight="1">
      <x:c r="A48" s="57" t="str">
        <x:v>Column</x:v>
      </x:c>
      <x:c r="B48" s="57" t="str">
        <x:v>Calendar</x:v>
      </x:c>
      <x:c r="C48" s="59" t="str">
        <x:v>Candidate Day Index</x:v>
      </x:c>
      <x:c r="D48" s="57" t="str">
        <x:v>No</x:v>
      </x:c>
      <x:c r="E48" s="57" t="str">
        <x:v>Yes</x:v>
      </x:c>
      <x:c r="F48" s="59" t="str">
        <x:v>Derived date, time-window, age, or delinquency measure.</x:v>
      </x:c>
    </x:row>
    <x:row r="49" ht="15" customHeight="1">
      <x:c r="A49" s="57" t="str">
        <x:v>Column</x:v>
      </x:c>
      <x:c r="B49" s="57" t="str">
        <x:v>Calendar</x:v>
      </x:c>
      <x:c r="C49" s="59" t="str">
        <x:v>Assessment Principal Base</x:v>
      </x:c>
      <x:c r="D49" s="57" t="str">
        <x:v>No</x:v>
      </x:c>
      <x:c r="E49" s="57" t="str">
        <x:v>Yes</x:v>
      </x:c>
      <x:c r="F49" s="59" t="str">
        <x:v>Derived financial aggregate or balance for operational or analytical use.</x:v>
      </x:c>
    </x:row>
    <x:row r="50" ht="15" customHeight="1">
      <x:c r="A50" s="57" t="str">
        <x:v>Column</x:v>
      </x:c>
      <x:c r="B50" s="57" t="str">
        <x:v>Calendar</x:v>
      </x:c>
      <x:c r="C50" s="59" t="str">
        <x:v>Assessment Principal Start Weight</x:v>
      </x:c>
      <x:c r="D50" s="57" t="str">
        <x:v>No</x:v>
      </x:c>
      <x:c r="E50" s="57" t="str">
        <x:v>Yes</x:v>
      </x:c>
      <x:c r="F50" s="59" t="str">
        <x:v>Derived financial aggregate or balance for operational or analytical use.</x:v>
      </x:c>
    </x:row>
    <x:row r="51" ht="15" customHeight="1">
      <x:c r="A51" s="57" t="str">
        <x:v>Column</x:v>
      </x:c>
      <x:c r="B51" s="57" t="str">
        <x:v>Calendar</x:v>
      </x:c>
      <x:c r="C51" s="59" t="str">
        <x:v>Minimum Required Profit</x:v>
      </x:c>
      <x:c r="D51" s="57" t="str">
        <x:v>No</x:v>
      </x:c>
      <x:c r="E51" s="57" t="str">
        <x:v>Yes</x:v>
      </x:c>
      <x:c r="F51" s="59" t="str">
        <x:v>Derived financial aggregate or balance for operational or analytical use.</x:v>
      </x:c>
    </x:row>
    <x:row r="52" ht="15" customHeight="1">
      <x:c r="A52" s="57" t="str">
        <x:v>Column</x:v>
      </x:c>
      <x:c r="B52" s="57" t="str">
        <x:v>Calendar</x:v>
      </x:c>
      <x:c r="C52" s="59" t="str">
        <x:v>Required Coverage</x:v>
      </x:c>
      <x:c r="D52" s="57" t="str">
        <x:v>No</x:v>
      </x:c>
      <x:c r="E52" s="57" t="str">
        <x:v>Yes</x:v>
      </x:c>
      <x:c r="F52" s="59" t="str">
        <x:v>Derived ratio or performance measure calculated from governed source values.</x:v>
      </x:c>
    </x:row>
    <x:row r="53" ht="15" customHeight="1">
      <x:c r="A53" s="57" t="str">
        <x:v>Column</x:v>
      </x:c>
      <x:c r="B53" s="57" t="str">
        <x:v>Calendar</x:v>
      </x:c>
      <x:c r="C53" s="59" t="str">
        <x:v>Coverage Margin</x:v>
      </x:c>
      <x:c r="D53" s="57" t="str">
        <x:v>No</x:v>
      </x:c>
      <x:c r="E53" s="57" t="str">
        <x:v>Yes</x:v>
      </x:c>
      <x:c r="F53" s="59" t="str">
        <x:v>Derived ratio or performance measure calculated from governed source values.</x:v>
      </x:c>
    </x:row>
    <x:row r="54" ht="15" customHeight="1">
      <x:c r="A54" s="57" t="str">
        <x:v>Column</x:v>
      </x:c>
      <x:c r="B54" s="57" t="str">
        <x:v>Calendar</x:v>
      </x:c>
      <x:c r="C54" s="59" t="str">
        <x:v>Eligible</x:v>
      </x:c>
      <x:c r="D54" s="57" t="str">
        <x:v>No</x:v>
      </x:c>
      <x:c r="E54" s="57" t="str">
        <x:v>Yes</x:v>
      </x:c>
      <x:c r="F54" s="59" t="str">
        <x:v>Derived business-state or risk indicator.</x:v>
      </x:c>
    </x:row>
    <x:row r="55" ht="15" customHeight="1">
      <x:c r="A55" s="57" t="str">
        <x:v>Column</x:v>
      </x:c>
      <x:c r="B55" s="57" t="str">
        <x:v>Calendar</x:v>
      </x:c>
      <x:c r="C55" s="59" t="str">
        <x:v>Year</x:v>
      </x:c>
      <x:c r="D55" s="57" t="str">
        <x:v>No</x:v>
      </x:c>
      <x:c r="E55" s="57" t="str">
        <x:v>Yes</x:v>
      </x:c>
      <x:c r="F55" s="59" t="str">
        <x:v>Derived date, time-window, age, or delinquency measure.</x:v>
      </x:c>
    </x:row>
    <x:row r="56" ht="15" customHeight="1">
      <x:c r="A56" s="57" t="str">
        <x:v>Column</x:v>
      </x:c>
      <x:c r="B56" s="57" t="str">
        <x:v>Calendar</x:v>
      </x:c>
      <x:c r="C56" s="59" t="str">
        <x:v>Month</x:v>
      </x:c>
      <x:c r="D56" s="57" t="str">
        <x:v>No</x:v>
      </x:c>
      <x:c r="E56" s="57" t="str">
        <x:v>Yes</x:v>
      </x:c>
      <x:c r="F56" s="59" t="str">
        <x:v>Derived date, time-window, age, or delinquency measure.</x:v>
      </x:c>
    </x:row>
    <x:row r="57" ht="15" customHeight="1">
      <x:c r="A57" s="57" t="str">
        <x:v>Column</x:v>
      </x:c>
      <x:c r="B57" s="57" t="str">
        <x:v>Calendar</x:v>
      </x:c>
      <x:c r="C57" s="59" t="str">
        <x:v>Month Name</x:v>
      </x:c>
      <x:c r="D57" s="57" t="str">
        <x:v>No</x:v>
      </x:c>
      <x:c r="E57" s="57" t="str">
        <x:v>Yes</x:v>
      </x:c>
      <x:c r="F57" s="59" t="str">
        <x:v>Derived date, time-window, age, or delinquency measure.</x:v>
      </x:c>
    </x:row>
    <x:row r="58" ht="15" customHeight="1">
      <x:c r="A58" s="57" t="str">
        <x:v>Column</x:v>
      </x:c>
      <x:c r="B58" s="57" t="str">
        <x:v>Calendar</x:v>
      </x:c>
      <x:c r="C58" s="59" t="str">
        <x:v>Year Month</x:v>
      </x:c>
      <x:c r="D58" s="57" t="str">
        <x:v>No</x:v>
      </x:c>
      <x:c r="E58" s="57" t="str">
        <x:v>Yes</x:v>
      </x:c>
      <x:c r="F58" s="59" t="str">
        <x:v>Derived date, time-window, age, or delinquency measure.</x:v>
      </x:c>
    </x:row>
    <x:row r="59" ht="15" customHeight="1">
      <x:c r="A59" s="57" t="str">
        <x:v>Column</x:v>
      </x:c>
      <x:c r="B59" s="57" t="str">
        <x:v>Calendar</x:v>
      </x:c>
      <x:c r="C59" s="59" t="str">
        <x:v>Week</x:v>
      </x:c>
      <x:c r="D59" s="57" t="str">
        <x:v>No</x:v>
      </x:c>
      <x:c r="E59" s="57" t="str">
        <x:v>Yes</x:v>
      </x:c>
      <x:c r="F59" s="59" t="str">
        <x:v>Derived date, time-window, age, or delinquency measure.</x:v>
      </x:c>
    </x:row>
    <x:row r="60" ht="15" customHeight="1">
      <x:c r="A60" s="57" t="str">
        <x:v>Column</x:v>
      </x:c>
      <x:c r="B60" s="57" t="str">
        <x:v>Calendar</x:v>
      </x:c>
      <x:c r="C60" s="59" t="str">
        <x:v>Year Week</x:v>
      </x:c>
      <x:c r="D60" s="57" t="str">
        <x:v>No</x:v>
      </x:c>
      <x:c r="E60" s="57" t="str">
        <x:v>Yes</x:v>
      </x:c>
      <x:c r="F60" s="59" t="str">
        <x:v>Derived date, time-window, age, or delinquency measure.</x:v>
      </x:c>
    </x:row>
    <x:row r="61" ht="15" customHeight="1">
      <x:c r="A61" s="57" t="str">
        <x:v>Column</x:v>
      </x:c>
      <x:c r="B61" s="57" t="str">
        <x:v>Calendar</x:v>
      </x:c>
      <x:c r="C61" s="59" t="str">
        <x:v>Week Start</x:v>
      </x:c>
      <x:c r="D61" s="57" t="str">
        <x:v>No</x:v>
      </x:c>
      <x:c r="E61" s="57" t="str">
        <x:v>Yes</x:v>
      </x:c>
      <x:c r="F61" s="59" t="str">
        <x:v>Derived date, time-window, age, or delinquency measure.</x:v>
      </x:c>
    </x:row>
    <x:row r="62" ht="15" customHeight="1">
      <x:c r="A62" s="57" t="str">
        <x:v>Column</x:v>
      </x:c>
      <x:c r="B62" s="57" t="str">
        <x:v>Calendar</x:v>
      </x:c>
      <x:c r="C62" s="59" t="str">
        <x:v>Quarter</x:v>
      </x:c>
      <x:c r="D62" s="57" t="str">
        <x:v>No</x:v>
      </x:c>
      <x:c r="E62" s="57" t="str">
        <x:v>Yes</x:v>
      </x:c>
      <x:c r="F62" s="59" t="str">
        <x:v>Derived AppSheet value used by the app workflow, presentation, or reporting model.</x:v>
      </x:c>
    </x:row>
    <x:row r="63" ht="15" customHeight="1">
      <x:c r="A63" s="57" t="str">
        <x:v>Column</x:v>
      </x:c>
      <x:c r="B63" s="57" t="str">
        <x:v>Calendar</x:v>
      </x:c>
      <x:c r="C63" s="59" t="str">
        <x:v>Day of Week</x:v>
      </x:c>
      <x:c r="D63" s="57" t="str">
        <x:v>No</x:v>
      </x:c>
      <x:c r="E63" s="57" t="str">
        <x:v>Yes</x:v>
      </x:c>
      <x:c r="F63" s="59" t="str">
        <x:v>Derived date, time-window, age, or delinquency measure.</x:v>
      </x:c>
    </x:row>
    <x:row r="64" ht="15" customHeight="1">
      <x:c r="A64" s="57" t="str">
        <x:v>Column</x:v>
      </x:c>
      <x:c r="B64" s="57" t="str">
        <x:v>Calendar</x:v>
      </x:c>
      <x:c r="C64" s="59" t="str">
        <x:v>Day of Month</x:v>
      </x:c>
      <x:c r="D64" s="57" t="str">
        <x:v>No</x:v>
      </x:c>
      <x:c r="E64" s="57" t="str">
        <x:v>Yes</x:v>
      </x:c>
      <x:c r="F64" s="59" t="str">
        <x:v>Derived date, time-window, age, or delinquency measure.</x:v>
      </x:c>
    </x:row>
    <x:row r="65" ht="15" customHeight="1">
      <x:c r="A65" s="57" t="str">
        <x:v>Column</x:v>
      </x:c>
      <x:c r="B65" s="57" t="str">
        <x:v>Calendar</x:v>
      </x:c>
      <x:c r="C65" s="59" t="str">
        <x:v>Assessment Installment Contract Principal Due</x:v>
      </x:c>
      <x:c r="D65" s="57" t="str">
        <x:v>No</x:v>
      </x:c>
      <x:c r="E65" s="57" t="str">
        <x:v>Yes</x:v>
      </x:c>
      <x:c r="F65" s="59" t="str">
        <x:v>Whole-baht scheduled principal for the candidate Calendar date; FLOOR base plus one baht on the earliest remainder days.</x:v>
      </x:c>
    </x:row>
    <x:row r="66" ht="15" customHeight="1">
      <x:c r="A66" s="57" t="str">
        <x:v>Column</x:v>
      </x:c>
      <x:c r="B66" s="57" t="str">
        <x:v>Calendar</x:v>
      </x:c>
      <x:c r="C66" s="59" t="str">
        <x:v>Assessment Installment Future Principal Due</x:v>
      </x:c>
      <x:c r="D66" s="57" t="str">
        <x:v>No</x:v>
      </x:c>
      <x:c r="E66" s="57" t="str">
        <x:v>Yes</x:v>
      </x:c>
      <x:c r="F66" s="59" t="str">
        <x:v>Whole-baht scheduled principal after each loan's latest posted Charge through its Due Date.</x:v>
      </x:c>
    </x:row>
    <x:row r="67" ht="15" customHeight="1">
      <x:c r="A67" s="57" t="str">
        <x:v>Column</x:v>
      </x:c>
      <x:c r="B67" s="57" t="str">
        <x:v>Calendar</x:v>
      </x:c>
      <x:c r="C67" s="59" t="str">
        <x:v>Assessment Installment Future Interest Due</x:v>
      </x:c>
      <x:c r="D67" s="57" t="str">
        <x:v>No</x:v>
      </x:c>
      <x:c r="E67" s="57" t="str">
        <x:v>Yes</x:v>
      </x:c>
      <x:c r="F67" s="59" t="str">
        <x:v>Scheduled daily-installment payment after the latest Charge minus future scheduled principal; Transfer Fee excluded.</x:v>
      </x:c>
    </x:row>
    <x:row r="68" ht="15" customHeight="1">
      <x:c r="A68" s="57" t="str">
        <x:v>Column</x:v>
      </x:c>
      <x:c r="B68" s="57" t="str">
        <x:v>Calendar</x:v>
      </x:c>
      <x:c r="C68" s="59" t="str">
        <x:v>Assessment Installment Contract Outstanding</x:v>
      </x:c>
      <x:c r="D68" s="57" t="str">
        <x:v>No</x:v>
      </x:c>
      <x:c r="E68" s="57" t="str">
        <x:v>Yes</x:v>
      </x:c>
      <x:c r="F68" s="59" t="str">
        <x:v>Nonnegative deterministic daily-installment contract balance after cumulative scheduled principal through the Calendar date.</x:v>
      </x:c>
    </x:row>
    <x:row r="69" ht="15" customHeight="1">
      <x:c r="A69" s="57" t="str">
        <x:v>Column</x:v>
      </x:c>
      <x:c r="B69" s="57" t="str">
        <x:v>Cash Pool Contributions</x:v>
      </x:c>
      <x:c r="C69" s="59" t="str">
        <x:v>_RowNumber</x:v>
      </x:c>
      <x:c r="D69" s="57" t="str">
        <x:v>No</x:v>
      </x:c>
      <x:c r="E69" s="57" t="str">
        <x:v>Yes</x:v>
      </x:c>
      <x:c r="F69" s="59" t="str">
        <x:v>System-generated source-row ordinal; not a stable business key.</x:v>
      </x:c>
    </x:row>
    <x:row r="70" ht="15" customHeight="1">
      <x:c r="A70" s="57" t="str">
        <x:v>Column</x:v>
      </x:c>
      <x:c r="B70" s="57" t="str">
        <x:v>Cash Pool Contributions</x:v>
      </x:c>
      <x:c r="C70" s="59" t="str">
        <x:v>Row ID</x:v>
      </x:c>
      <x:c r="D70" s="57" t="str">
        <x:v>No</x:v>
      </x:c>
      <x:c r="E70" s="57" t="str">
        <x:v>Yes</x:v>
      </x:c>
      <x:c r="F70" s="59" t="str">
        <x:v>Immutable row key generated by the source database.</x:v>
      </x:c>
    </x:row>
    <x:row r="71" ht="15" customHeight="1">
      <x:c r="A71" s="57" t="str">
        <x:v>Column</x:v>
      </x:c>
      <x:c r="B71" s="57" t="str">
        <x:v>Cash Pool Contributions</x:v>
      </x:c>
      <x:c r="C71" s="59" t="str">
        <x:v>Ref Partner</x:v>
      </x:c>
      <x:c r="D71" s="57" t="str">
        <x:v>No</x:v>
      </x:c>
      <x:c r="E71" s="57" t="str">
        <x:v>Yes</x:v>
      </x:c>
      <x:c r="F71" s="59" t="str">
        <x:v>Reference key that links this row to the configured parent table.</x:v>
      </x:c>
    </x:row>
    <x:row r="72" ht="15" customHeight="1">
      <x:c r="A72" s="57" t="str">
        <x:v>Column</x:v>
      </x:c>
      <x:c r="B72" s="57" t="str">
        <x:v>Cash Pool Contributions</x:v>
      </x:c>
      <x:c r="C72" s="59" t="str">
        <x:v>Contribution Date</x:v>
      </x:c>
      <x:c r="D72" s="57" t="str">
        <x:v>No</x:v>
      </x:c>
      <x:c r="E72" s="57" t="str">
        <x:v>Yes</x:v>
      </x:c>
      <x:c r="F72" s="59" t="str">
        <x:v>Stores the source date for Contribution Date.</x:v>
      </x:c>
    </x:row>
    <x:row r="73" ht="15" customHeight="1">
      <x:c r="A73" s="57" t="str">
        <x:v>Column</x:v>
      </x:c>
      <x:c r="B73" s="57" t="str">
        <x:v>Cash Pool Contributions</x:v>
      </x:c>
      <x:c r="C73" s="59" t="str">
        <x:v>Transaction Type</x:v>
      </x:c>
      <x:c r="D73" s="57" t="str">
        <x:v>No</x:v>
      </x:c>
      <x:c r="E73" s="57" t="str">
        <x:v>Yes</x:v>
      </x:c>
      <x:c r="F73" s="59" t="str">
        <x:v>Stores the authoritative source value for Transaction Type.</x:v>
      </x:c>
    </x:row>
    <x:row r="74" ht="15" customHeight="1">
      <x:c r="A74" s="57" t="str">
        <x:v>Column</x:v>
      </x:c>
      <x:c r="B74" s="57" t="str">
        <x:v>Cash Pool Contributions</x:v>
      </x:c>
      <x:c r="C74" s="59" t="str">
        <x:v>Amount</x:v>
      </x:c>
      <x:c r="D74" s="57" t="str">
        <x:v>No</x:v>
      </x:c>
      <x:c r="E74" s="57" t="str">
        <x:v>Yes</x:v>
      </x:c>
      <x:c r="F74" s="59" t="str">
        <x:v>Stores the financially material source value for Amount.</x:v>
      </x:c>
    </x:row>
    <x:row r="75" ht="15" customHeight="1">
      <x:c r="A75" s="57" t="str">
        <x:v>Column</x:v>
      </x:c>
      <x:c r="B75" s="57" t="str">
        <x:v>Cash Pool Contributions</x:v>
      </x:c>
      <x:c r="C75" s="59" t="str">
        <x:v>Notes</x:v>
      </x:c>
      <x:c r="D75" s="57" t="str">
        <x:v>No</x:v>
      </x:c>
      <x:c r="E75" s="57" t="str">
        <x:v>Yes</x:v>
      </x:c>
      <x:c r="F75" s="59" t="str">
        <x:v>Stores the authoritative source value for Notes.</x:v>
      </x:c>
    </x:row>
    <x:row r="76" ht="15" customHeight="1">
      <x:c r="A76" s="57" t="str">
        <x:v>Column</x:v>
      </x:c>
      <x:c r="B76" s="57" t="str">
        <x:v>Cash Pool Contributions</x:v>
      </x:c>
      <x:c r="C76" s="59" t="str">
        <x:v>Net Contribution</x:v>
      </x:c>
      <x:c r="D76" s="57" t="str">
        <x:v>No</x:v>
      </x:c>
      <x:c r="E76" s="57" t="str">
        <x:v>Yes</x:v>
      </x:c>
      <x:c r="F76" s="59" t="str">
        <x:v>Derived financial aggregate or balance for operational or analytical use.</x:v>
      </x:c>
    </x:row>
    <x:row r="77" ht="15" customHeight="1">
      <x:c r="A77" s="57" t="str">
        <x:v>Column</x:v>
      </x:c>
      <x:c r="B77" s="57" t="str">
        <x:v>Cash Pool Contributions</x:v>
      </x:c>
      <x:c r="C77" s="59" t="str">
        <x:v>Transaction Type TE</x:v>
      </x:c>
      <x:c r="D77" s="57" t="str">
        <x:v>No</x:v>
      </x:c>
      <x:c r="E77" s="57" t="str">
        <x:v>Yes</x:v>
      </x:c>
      <x:c r="F77" s="59" t="str">
        <x:v>Presentation-oriented label or bilingual display value.</x:v>
      </x:c>
    </x:row>
    <x:row r="78" ht="15" customHeight="1">
      <x:c r="A78" s="57" t="str">
        <x:v>Column</x:v>
      </x:c>
      <x:c r="B78" s="57" t="str">
        <x:v>Charges</x:v>
      </x:c>
      <x:c r="C78" s="59" t="str">
        <x:v>Last Payment Date</x:v>
      </x:c>
      <x:c r="D78" s="57" t="str">
        <x:v>No</x:v>
      </x:c>
      <x:c r="E78" s="57" t="str">
        <x:v>Yes</x:v>
      </x:c>
      <x:c r="F78" s="59" t="str">
        <x:v>Derived date, time-window, age, or delinquency measure.</x:v>
      </x:c>
    </x:row>
    <x:row r="79" ht="15" customHeight="1">
      <x:c r="A79" s="57" t="str">
        <x:v>Column</x:v>
      </x:c>
      <x:c r="B79" s="57" t="str">
        <x:v>Charges</x:v>
      </x:c>
      <x:c r="C79" s="59" t="str">
        <x:v>First Payment Date</x:v>
      </x:c>
      <x:c r="D79" s="57" t="str">
        <x:v>No</x:v>
      </x:c>
      <x:c r="E79" s="57" t="str">
        <x:v>Yes</x:v>
      </x:c>
      <x:c r="F79" s="59" t="str">
        <x:v>Derived date, time-window, age, or delinquency measure.</x:v>
      </x:c>
    </x:row>
    <x:row r="80" ht="15" customHeight="1">
      <x:c r="A80" s="57" t="str">
        <x:v>Column</x:v>
      </x:c>
      <x:c r="B80" s="57" t="str">
        <x:v>Charges</x:v>
      </x:c>
      <x:c r="C80" s="59" t="str">
        <x:v>Days Late</x:v>
      </x:c>
      <x:c r="D80" s="57" t="str">
        <x:v>No</x:v>
      </x:c>
      <x:c r="E80" s="57" t="str">
        <x:v>Yes</x:v>
      </x:c>
      <x:c r="F80" s="59" t="str">
        <x:v>Derived business-state or risk indicator.</x:v>
      </x:c>
    </x:row>
    <x:row r="81" ht="15" customHeight="1">
      <x:c r="A81" s="57" t="str">
        <x:v>Column</x:v>
      </x:c>
      <x:c r="B81" s="57" t="str">
        <x:v>Charges</x:v>
      </x:c>
      <x:c r="C81" s="59" t="str">
        <x:v>Historical On Time</x:v>
      </x:c>
      <x:c r="D81" s="57" t="str">
        <x:v>No</x:v>
      </x:c>
      <x:c r="E81" s="57" t="str">
        <x:v>Yes</x:v>
      </x:c>
      <x:c r="F81" s="59" t="str">
        <x:v>Derived business-state or risk indicator.</x:v>
      </x:c>
    </x:row>
    <x:row r="82" ht="15" customHeight="1">
      <x:c r="A82" s="57" t="str">
        <x:v>Column</x:v>
      </x:c>
      <x:c r="B82" s="57" t="str">
        <x:v>Charges</x:v>
      </x:c>
      <x:c r="C82" s="59" t="str">
        <x:v>Historical Late</x:v>
      </x:c>
      <x:c r="D82" s="57" t="str">
        <x:v>No</x:v>
      </x:c>
      <x:c r="E82" s="57" t="str">
        <x:v>Yes</x:v>
      </x:c>
      <x:c r="F82" s="59" t="str">
        <x:v>Derived business-state or risk indicator.</x:v>
      </x:c>
    </x:row>
    <x:row r="83" ht="15" customHeight="1">
      <x:c r="A83" s="57" t="str">
        <x:v>Column</x:v>
      </x:c>
      <x:c r="B83" s="57" t="str">
        <x:v>Charges</x:v>
      </x:c>
      <x:c r="C83" s="59" t="str">
        <x:v>Payment Count</x:v>
      </x:c>
      <x:c r="D83" s="57" t="str">
        <x:v>Yes</x:v>
      </x:c>
      <x:c r="E83" s="57" t="str">
        <x:v>No</x:v>
      </x:c>
      <x:c r="F83" s="59" t="str">
        <x:v>Derived count used for workload, portfolio, or risk analysis.</x:v>
      </x:c>
    </x:row>
    <x:row r="84" ht="15" customHeight="1">
      <x:c r="A84" s="57" t="str">
        <x:v>Column</x:v>
      </x:c>
      <x:c r="B84" s="57" t="str">
        <x:v>Charges</x:v>
      </x:c>
      <x:c r="C84" s="59" t="str">
        <x:v>Days Outstanding</x:v>
      </x:c>
      <x:c r="D84" s="57" t="str">
        <x:v>Yes</x:v>
      </x:c>
      <x:c r="E84" s="57" t="str">
        <x:v>No</x:v>
      </x:c>
      <x:c r="F84" s="59" t="str">
        <x:v>Derived date, time-window, age, or delinquency measure.</x:v>
      </x:c>
    </x:row>
    <x:row r="85" ht="15" customHeight="1">
      <x:c r="A85" s="57" t="str">
        <x:v>Column</x:v>
      </x:c>
      <x:c r="B85" s="57" t="str">
        <x:v>Daily Analytics</x:v>
      </x:c>
      <x:c r="C85" s="59" t="str">
        <x:v>_RowNumber</x:v>
      </x:c>
      <x:c r="D85" s="57" t="str">
        <x:v>No</x:v>
      </x:c>
      <x:c r="E85" s="57" t="str">
        <x:v>Yes</x:v>
      </x:c>
      <x:c r="F85" s="59" t="str">
        <x:v>System-generated source-row ordinal; not a stable business key.</x:v>
      </x:c>
    </x:row>
    <x:row r="86" ht="15" customHeight="1">
      <x:c r="A86" s="57" t="str">
        <x:v>Column</x:v>
      </x:c>
      <x:c r="B86" s="57" t="str">
        <x:v>Daily Analytics</x:v>
      </x:c>
      <x:c r="C86" s="59" t="str">
        <x:v>Row ID</x:v>
      </x:c>
      <x:c r="D86" s="57" t="str">
        <x:v>No</x:v>
      </x:c>
      <x:c r="E86" s="57" t="str">
        <x:v>Yes</x:v>
      </x:c>
      <x:c r="F86" s="59" t="str">
        <x:v>Immutable row key generated by the source database.</x:v>
      </x:c>
    </x:row>
    <x:row r="87" ht="15" customHeight="1">
      <x:c r="A87" s="57" t="str">
        <x:v>Column</x:v>
      </x:c>
      <x:c r="B87" s="57" t="str">
        <x:v>Daily Analytics</x:v>
      </x:c>
      <x:c r="C87" s="59" t="str">
        <x:v>Snapshot Date</x:v>
      </x:c>
      <x:c r="D87" s="57" t="str">
        <x:v>No</x:v>
      </x:c>
      <x:c r="E87" s="57" t="str">
        <x:v>Yes</x:v>
      </x:c>
      <x:c r="F87" s="59" t="str">
        <x:v>Stores the source date for Snapshot Date.</x:v>
      </x:c>
    </x:row>
    <x:row r="88" ht="15" customHeight="1">
      <x:c r="A88" s="57" t="str">
        <x:v>Column</x:v>
      </x:c>
      <x:c r="B88" s="57" t="str">
        <x:v>Daily Analytics</x:v>
      </x:c>
      <x:c r="C88" s="59" t="str">
        <x:v>Generated At</x:v>
      </x:c>
      <x:c r="D88" s="57" t="str">
        <x:v>No</x:v>
      </x:c>
      <x:c r="E88" s="57" t="str">
        <x:v>Yes</x:v>
      </x:c>
      <x:c r="F88" s="59" t="str">
        <x:v>Stores the authoritative source value for Generated At.</x:v>
      </x:c>
    </x:row>
    <x:row r="89" ht="15" customHeight="1">
      <x:c r="A89" s="57" t="str">
        <x:v>Column</x:v>
      </x:c>
      <x:c r="B89" s="57" t="str">
        <x:v>Daily Analytics</x:v>
      </x:c>
      <x:c r="C89" s="59" t="str">
        <x:v>Model Version</x:v>
      </x:c>
      <x:c r="D89" s="57" t="str">
        <x:v>No</x:v>
      </x:c>
      <x:c r="E89" s="57" t="str">
        <x:v>Yes</x:v>
      </x:c>
      <x:c r="F89" s="59" t="str">
        <x:v>Stores the authoritative source value for Model Version.</x:v>
      </x:c>
    </x:row>
    <x:row r="90" ht="15" customHeight="1">
      <x:c r="A90" s="57" t="str">
        <x:v>Column</x:v>
      </x:c>
      <x:c r="B90" s="57" t="str">
        <x:v>Daily Analytics</x:v>
      </x:c>
      <x:c r="C90" s="59" t="str">
        <x:v>Principal Issued</x:v>
      </x:c>
      <x:c r="D90" s="57" t="str">
        <x:v>No</x:v>
      </x:c>
      <x:c r="E90" s="57" t="str">
        <x:v>Yes</x:v>
      </x:c>
      <x:c r="F90" s="59" t="str">
        <x:v>Stores the financially material source value for Principal Issued.</x:v>
      </x:c>
    </x:row>
    <x:row r="91" ht="15" customHeight="1">
      <x:c r="A91" s="57" t="str">
        <x:v>Column</x:v>
      </x:c>
      <x:c r="B91" s="57" t="str">
        <x:v>Daily Analytics</x:v>
      </x:c>
      <x:c r="C91" s="59" t="str">
        <x:v>Loans Issued</x:v>
      </x:c>
      <x:c r="D91" s="57" t="str">
        <x:v>No</x:v>
      </x:c>
      <x:c r="E91" s="57" t="str">
        <x:v>Yes</x:v>
      </x:c>
      <x:c r="F91" s="59" t="str">
        <x:v>Stores the authoritative source value for Loans Issued.</x:v>
      </x:c>
    </x:row>
    <x:row r="92" ht="15" customHeight="1">
      <x:c r="A92" s="57" t="str">
        <x:v>Column</x:v>
      </x:c>
      <x:c r="B92" s="57" t="str">
        <x:v>Daily Analytics</x:v>
      </x:c>
      <x:c r="C92" s="59" t="str">
        <x:v>Principal Returned</x:v>
      </x:c>
      <x:c r="D92" s="57" t="str">
        <x:v>No</x:v>
      </x:c>
      <x:c r="E92" s="57" t="str">
        <x:v>Yes</x:v>
      </x:c>
      <x:c r="F92" s="59" t="str">
        <x:v>Stores the financially material source value for Principal Returned.</x:v>
      </x:c>
    </x:row>
    <x:row r="93" ht="15" customHeight="1">
      <x:c r="A93" s="57" t="str">
        <x:v>Column</x:v>
      </x:c>
      <x:c r="B93" s="57" t="str">
        <x:v>Daily Analytics</x:v>
      </x:c>
      <x:c r="C93" s="59" t="str">
        <x:v>Interest Received</x:v>
      </x:c>
      <x:c r="D93" s="57" t="str">
        <x:v>No</x:v>
      </x:c>
      <x:c r="E93" s="57" t="str">
        <x:v>Yes</x:v>
      </x:c>
      <x:c r="F93" s="59" t="str">
        <x:v>Stores the financially material source value for Interest Received.</x:v>
      </x:c>
    </x:row>
    <x:row r="94" ht="15" customHeight="1">
      <x:c r="A94" s="57" t="str">
        <x:v>Column</x:v>
      </x:c>
      <x:c r="B94" s="57" t="str">
        <x:v>Daily Analytics</x:v>
      </x:c>
      <x:c r="C94" s="59" t="str">
        <x:v>Repayments Count</x:v>
      </x:c>
      <x:c r="D94" s="57" t="str">
        <x:v>No</x:v>
      </x:c>
      <x:c r="E94" s="57" t="str">
        <x:v>Yes</x:v>
      </x:c>
      <x:c r="F94" s="59" t="str">
        <x:v>Stores the authoritative source value for Repayments Count.</x:v>
      </x:c>
    </x:row>
    <x:row r="95" ht="15" customHeight="1">
      <x:c r="A95" s="57" t="str">
        <x:v>Column</x:v>
      </x:c>
      <x:c r="B95" s="57" t="str">
        <x:v>Daily Analytics</x:v>
      </x:c>
      <x:c r="C95" s="59" t="str">
        <x:v>Outstanding Principal EOD</x:v>
      </x:c>
      <x:c r="D95" s="57" t="str">
        <x:v>No</x:v>
      </x:c>
      <x:c r="E95" s="57" t="str">
        <x:v>Yes</x:v>
      </x:c>
      <x:c r="F95" s="59" t="str">
        <x:v>Stores the financially material source value for Outstanding Principal EOD.</x:v>
      </x:c>
    </x:row>
    <x:row r="96" ht="15" customHeight="1">
      <x:c r="A96" s="57" t="str">
        <x:v>Column</x:v>
      </x:c>
      <x:c r="B96" s="57" t="str">
        <x:v>Daily Analytics</x:v>
      </x:c>
      <x:c r="C96" s="59" t="str">
        <x:v>Active Loans EOD</x:v>
      </x:c>
      <x:c r="D96" s="57" t="str">
        <x:v>No</x:v>
      </x:c>
      <x:c r="E96" s="57" t="str">
        <x:v>Yes</x:v>
      </x:c>
      <x:c r="F96" s="59" t="str">
        <x:v>Stores the authoritative source value for Active Loans EOD.</x:v>
      </x:c>
    </x:row>
    <x:row r="97" ht="15" customHeight="1">
      <x:c r="A97" s="57" t="str">
        <x:v>Column</x:v>
      </x:c>
      <x:c r="B97" s="57" t="str">
        <x:v>Daily Analytics</x:v>
      </x:c>
      <x:c r="C97" s="59" t="str">
        <x:v>Active Borrowers EOD</x:v>
      </x:c>
      <x:c r="D97" s="57" t="str">
        <x:v>No</x:v>
      </x:c>
      <x:c r="E97" s="57" t="str">
        <x:v>Yes</x:v>
      </x:c>
      <x:c r="F97" s="59" t="str">
        <x:v>Stores the authoritative source value for Active Borrowers EOD.</x:v>
      </x:c>
    </x:row>
    <x:row r="98" ht="15" customHeight="1">
      <x:c r="A98" s="57" t="str">
        <x:v>Column</x:v>
      </x:c>
      <x:c r="B98" s="57" t="str">
        <x:v>Daily Analytics</x:v>
      </x:c>
      <x:c r="C98" s="59" t="str">
        <x:v>Pending Charges EOD</x:v>
      </x:c>
      <x:c r="D98" s="57" t="str">
        <x:v>No</x:v>
      </x:c>
      <x:c r="E98" s="57" t="str">
        <x:v>Yes</x:v>
      </x:c>
      <x:c r="F98" s="59" t="str">
        <x:v>Stores the authoritative source value for Pending Charges EOD.</x:v>
      </x:c>
    </x:row>
    <x:row r="99" ht="15" customHeight="1">
      <x:c r="A99" s="57" t="str">
        <x:v>Column</x:v>
      </x:c>
      <x:c r="B99" s="57" t="str">
        <x:v>Daily Analytics</x:v>
      </x:c>
      <x:c r="C99" s="59" t="str">
        <x:v>Total Cash Pool EOD</x:v>
      </x:c>
      <x:c r="D99" s="57" t="str">
        <x:v>No</x:v>
      </x:c>
      <x:c r="E99" s="57" t="str">
        <x:v>Yes</x:v>
      </x:c>
      <x:c r="F99" s="59" t="str">
        <x:v>Stores the financially material source value for Total Cash Pool EOD.</x:v>
      </x:c>
    </x:row>
    <x:row r="100" ht="15" customHeight="1">
      <x:c r="A100" s="57" t="str">
        <x:v>Column</x:v>
      </x:c>
      <x:c r="B100" s="57" t="str">
        <x:v>Daily Analytics</x:v>
      </x:c>
      <x:c r="C100" s="59" t="str">
        <x:v>Available Cash EOD</x:v>
      </x:c>
      <x:c r="D100" s="57" t="str">
        <x:v>No</x:v>
      </x:c>
      <x:c r="E100" s="57" t="str">
        <x:v>Yes</x:v>
      </x:c>
      <x:c r="F100" s="59" t="str">
        <x:v>Stores the financially material source value for Available Cash EOD.</x:v>
      </x:c>
    </x:row>
    <x:row r="101" ht="15" customHeight="1">
      <x:c r="A101" s="57" t="str">
        <x:v>Column</x:v>
      </x:c>
      <x:c r="B101" s="57" t="str">
        <x:v>Daily Analytics</x:v>
      </x:c>
      <x:c r="C101" s="59" t="str">
        <x:v>Unsettled Profit EOD</x:v>
      </x:c>
      <x:c r="D101" s="57" t="str">
        <x:v>No</x:v>
      </x:c>
      <x:c r="E101" s="57" t="str">
        <x:v>Yes</x:v>
      </x:c>
      <x:c r="F101" s="59" t="str">
        <x:v>Stores the financially material source value for Unsettled Profit EOD.</x:v>
      </x:c>
    </x:row>
    <x:row r="102" ht="15" customHeight="1">
      <x:c r="A102" s="57" t="str">
        <x:v>Column</x:v>
      </x:c>
      <x:c r="B102" s="57" t="str">
        <x:v>Daily Analytics</x:v>
      </x:c>
      <x:c r="C102" s="59" t="str">
        <x:v>Week</x:v>
      </x:c>
      <x:c r="D102" s="57" t="str">
        <x:v>No</x:v>
      </x:c>
      <x:c r="E102" s="57" t="str">
        <x:v>Yes</x:v>
      </x:c>
      <x:c r="F102" s="59" t="str">
        <x:v>Derived date, time-window, age, or delinquency measure.</x:v>
      </x:c>
    </x:row>
    <x:row r="103" ht="15" customHeight="1">
      <x:c r="A103" s="57" t="str">
        <x:v>Column</x:v>
      </x:c>
      <x:c r="B103" s="57" t="str">
        <x:v>Daily Analytics</x:v>
      </x:c>
      <x:c r="C103" s="59" t="str">
        <x:v>Month</x:v>
      </x:c>
      <x:c r="D103" s="57" t="str">
        <x:v>No</x:v>
      </x:c>
      <x:c r="E103" s="57" t="str">
        <x:v>Yes</x:v>
      </x:c>
      <x:c r="F103" s="59" t="str">
        <x:v>Derived date, time-window, age, or delinquency measure.</x:v>
      </x:c>
    </x:row>
    <x:row r="104" ht="15" customHeight="1">
      <x:c r="A104" s="57" t="str">
        <x:v>Column</x:v>
      </x:c>
      <x:c r="B104" s="57" t="str">
        <x:v>Daily Analytics</x:v>
      </x:c>
      <x:c r="C104" s="59" t="str">
        <x:v>Daily Capital Employed</x:v>
      </x:c>
      <x:c r="D104" s="57" t="str">
        <x:v>No</x:v>
      </x:c>
      <x:c r="E104" s="57" t="str">
        <x:v>Yes</x:v>
      </x:c>
      <x:c r="F104" s="59" t="str">
        <x:v>Derived AppSheet value used by the app workflow, presentation, or reporting model.</x:v>
      </x:c>
    </x:row>
    <x:row r="105" ht="15" customHeight="1">
      <x:c r="A105" s="57" t="str">
        <x:v>Column</x:v>
      </x:c>
      <x:c r="B105" s="57" t="str">
        <x:v>Daily Analytics</x:v>
      </x:c>
      <x:c r="C105" s="59" t="str">
        <x:v>Daily Capital Yield</x:v>
      </x:c>
      <x:c r="D105" s="57" t="str">
        <x:v>No</x:v>
      </x:c>
      <x:c r="E105" s="57" t="str">
        <x:v>Yes</x:v>
      </x:c>
      <x:c r="F105" s="59" t="str">
        <x:v>Derived ratio or performance measure calculated from governed source values.</x:v>
      </x:c>
    </x:row>
    <x:row r="106" ht="15" customHeight="1">
      <x:c r="A106" s="57" t="str">
        <x:v>Column</x:v>
      </x:c>
      <x:c r="B106" s="57" t="str">
        <x:v>Daily Analytics</x:v>
      </x:c>
      <x:c r="C106" s="59" t="str">
        <x:v>Portfolio Share Join Key</x:v>
      </x:c>
      <x:c r="D106" s="57" t="str">
        <x:v>No</x:v>
      </x:c>
      <x:c r="E106" s="57" t="str">
        <x:v>Yes</x:v>
      </x:c>
      <x:c r="F106" s="59" t="str">
        <x:v>Derived grouping, ordering, or join value used by reporting or app presentation.</x:v>
      </x:c>
    </x:row>
    <x:row r="107" ht="15" customHeight="1">
      <x:c r="A107" s="57" t="str">
        <x:v>Column</x:v>
      </x:c>
      <x:c r="B107" s="57" t="str">
        <x:v>Daily Analytics</x:v>
      </x:c>
      <x:c r="C107" s="59" t="str">
        <x:v>Portfolio Slice</x:v>
      </x:c>
      <x:c r="D107" s="57" t="str">
        <x:v>No</x:v>
      </x:c>
      <x:c r="E107" s="57" t="str">
        <x:v>Yes</x:v>
      </x:c>
      <x:c r="F107" s="59" t="str">
        <x:v>Derived grouping, ordering, or join value used by reporting or app presentation.</x:v>
      </x:c>
    </x:row>
    <x:row r="108" ht="15" customHeight="1">
      <x:c r="A108" s="57" t="str">
        <x:v>Column</x:v>
      </x:c>
      <x:c r="B108" s="57" t="str">
        <x:v>Loan Assessment</x:v>
      </x:c>
      <x:c r="C108" s="59" t="str">
        <x:v>_RowNumber</x:v>
      </x:c>
      <x:c r="D108" s="57" t="str">
        <x:v>No</x:v>
      </x:c>
      <x:c r="E108" s="57" t="str">
        <x:v>Yes</x:v>
      </x:c>
      <x:c r="F108" s="59" t="str">
        <x:v>System-generated source-row ordinal; not a stable business key.</x:v>
      </x:c>
    </x:row>
    <x:row r="109" ht="15" customHeight="1">
      <x:c r="A109" s="57" t="str">
        <x:v>Column</x:v>
      </x:c>
      <x:c r="B109" s="57" t="str">
        <x:v>Loan Assessment</x:v>
      </x:c>
      <x:c r="C109" s="59" t="str">
        <x:v>Row ID</x:v>
      </x:c>
      <x:c r="D109" s="57" t="str">
        <x:v>No</x:v>
      </x:c>
      <x:c r="E109" s="57" t="str">
        <x:v>Yes</x:v>
      </x:c>
      <x:c r="F109" s="59" t="str">
        <x:v>Immutable row key generated by the source database.</x:v>
      </x:c>
    </x:row>
    <x:row r="110" ht="15" customHeight="1">
      <x:c r="A110" s="57" t="str">
        <x:v>Column</x:v>
      </x:c>
      <x:c r="B110" s="57" t="str">
        <x:v>Loan Assessment</x:v>
      </x:c>
      <x:c r="C110" s="59" t="str">
        <x:v>Assessment ID</x:v>
      </x:c>
      <x:c r="D110" s="57" t="str">
        <x:v>No</x:v>
      </x:c>
      <x:c r="E110" s="57" t="str">
        <x:v>Yes</x:v>
      </x:c>
      <x:c r="F110" s="59" t="str">
        <x:v>Stores the authoritative source value for Assessment ID.</x:v>
      </x:c>
    </x:row>
    <x:row r="111" ht="15" customHeight="1">
      <x:c r="A111" s="57" t="str">
        <x:v>Column</x:v>
      </x:c>
      <x:c r="B111" s="57" t="str">
        <x:v>Loan Assessment</x:v>
      </x:c>
      <x:c r="C111" s="59" t="str">
        <x:v>Ref Borrower</x:v>
      </x:c>
      <x:c r="D111" s="57" t="str">
        <x:v>No</x:v>
      </x:c>
      <x:c r="E111" s="57" t="str">
        <x:v>Yes</x:v>
      </x:c>
      <x:c r="F111" s="59" t="str">
        <x:v>Reference key that links this row to the configured parent table.</x:v>
      </x:c>
    </x:row>
    <x:row r="112" ht="15" customHeight="1">
      <x:c r="A112" s="57" t="str">
        <x:v>Column</x:v>
      </x:c>
      <x:c r="B112" s="57" t="str">
        <x:v>Loan Assessment</x:v>
      </x:c>
      <x:c r="C112" s="59" t="str">
        <x:v>Proposed Loan Amount</x:v>
      </x:c>
      <x:c r="D112" s="57" t="str">
        <x:v>No</x:v>
      </x:c>
      <x:c r="E112" s="57" t="str">
        <x:v>Yes</x:v>
      </x:c>
      <x:c r="F112" s="59" t="str">
        <x:v>Stores the financially material source value for Proposed Loan Amount.</x:v>
      </x:c>
    </x:row>
    <x:row r="113" ht="15" customHeight="1">
      <x:c r="A113" s="57" t="str">
        <x:v>Column</x:v>
      </x:c>
      <x:c r="B113" s="57" t="str">
        <x:v>Loan Assessment</x:v>
      </x:c>
      <x:c r="C113" s="59" t="str">
        <x:v>Minimum Daily Profit Rate</x:v>
      </x:c>
      <x:c r="D113" s="57" t="str">
        <x:v>No</x:v>
      </x:c>
      <x:c r="E113" s="57" t="str">
        <x:v>Yes</x:v>
      </x:c>
      <x:c r="F113" s="59" t="str">
        <x:v>Stores the financially material source value for Minimum Daily Profit Rate.</x:v>
      </x:c>
    </x:row>
    <x:row r="114" ht="15" customHeight="1">
      <x:c r="A114" s="57" t="str">
        <x:v>Column</x:v>
      </x:c>
      <x:c r="B114" s="57" t="str">
        <x:v>Loan Assessment</x:v>
      </x:c>
      <x:c r="C114" s="59" t="str">
        <x:v>Current Outstanding Principal</x:v>
      </x:c>
      <x:c r="D114" s="57" t="str">
        <x:v>No</x:v>
      </x:c>
      <x:c r="E114" s="57" t="str">
        <x:v>Yes</x:v>
      </x:c>
      <x:c r="F114" s="59" t="str">
        <x:v>Derived financial aggregate or balance for operational or analytical use.</x:v>
      </x:c>
    </x:row>
    <x:row r="115" ht="15" customHeight="1">
      <x:c r="A115" s="57" t="str">
        <x:v>Column</x:v>
      </x:c>
      <x:c r="B115" s="57" t="str">
        <x:v>Loan Assessment</x:v>
      </x:c>
      <x:c r="C115" s="59" t="str">
        <x:v>Interest Earned from Active Loans</x:v>
      </x:c>
      <x:c r="D115" s="57" t="str">
        <x:v>No</x:v>
      </x:c>
      <x:c r="E115" s="57" t="str">
        <x:v>Yes</x:v>
      </x:c>
      <x:c r="F115" s="59" t="str">
        <x:v>Derived count used for workload, portfolio, or risk analysis.</x:v>
      </x:c>
    </x:row>
    <x:row r="116" ht="15" customHeight="1">
      <x:c r="A116" s="57" t="str">
        <x:v>Column</x:v>
      </x:c>
      <x:c r="B116" s="57" t="str">
        <x:v>Loan Assessment</x:v>
      </x:c>
      <x:c r="C116" s="59" t="str">
        <x:v>Earliest Eligible Date</x:v>
      </x:c>
      <x:c r="D116" s="57" t="str">
        <x:v>No</x:v>
      </x:c>
      <x:c r="E116" s="57" t="str">
        <x:v>Yes</x:v>
      </x:c>
      <x:c r="F116" s="59" t="str">
        <x:v>Derived business-state or risk indicator.</x:v>
      </x:c>
    </x:row>
    <x:row r="117" ht="15" customHeight="1">
      <x:c r="A117" s="57" t="str">
        <x:v>Column</x:v>
      </x:c>
      <x:c r="B117" s="57" t="str">
        <x:v>Loan Assessment</x:v>
      </x:c>
      <x:c r="C117" s="59" t="str">
        <x:v>Days Until Eligible</x:v>
      </x:c>
      <x:c r="D117" s="57" t="str">
        <x:v>No</x:v>
      </x:c>
      <x:c r="E117" s="57" t="str">
        <x:v>Yes</x:v>
      </x:c>
      <x:c r="F117" s="59" t="str">
        <x:v>Derived business-state or risk indicator.</x:v>
      </x:c>
    </x:row>
    <x:row r="118" ht="15" customHeight="1">
      <x:c r="A118" s="57" t="str">
        <x:v>Column</x:v>
      </x:c>
      <x:c r="B118" s="57" t="str">
        <x:v>Loan Assessment</x:v>
      </x:c>
      <x:c r="C118" s="59" t="str">
        <x:v>Projected Interest at Eligible Date</x:v>
      </x:c>
      <x:c r="D118" s="57" t="str">
        <x:v>No</x:v>
      </x:c>
      <x:c r="E118" s="57" t="str">
        <x:v>Yes</x:v>
      </x:c>
      <x:c r="F118" s="59" t="str">
        <x:v>Derived business-state or risk indicator.</x:v>
      </x:c>
    </x:row>
    <x:row r="119" ht="15" customHeight="1">
      <x:c r="A119" s="57" t="str">
        <x:v>Column</x:v>
      </x:c>
      <x:c r="B119" s="57" t="str">
        <x:v>Loan Assessment</x:v>
      </x:c>
      <x:c r="C119" s="59" t="str">
        <x:v>Outstanding Principal at Eligible Date</x:v>
      </x:c>
      <x:c r="D119" s="57" t="str">
        <x:v>No</x:v>
      </x:c>
      <x:c r="E119" s="57" t="str">
        <x:v>Yes</x:v>
      </x:c>
      <x:c r="F119" s="59" t="str">
        <x:v>Derived business-state or risk indicator.</x:v>
      </x:c>
    </x:row>
    <x:row r="120" ht="15" customHeight="1">
      <x:c r="A120" s="57" t="str">
        <x:v>Column</x:v>
      </x:c>
      <x:c r="B120" s="57" t="str">
        <x:v>Loan Assessment</x:v>
      </x:c>
      <x:c r="C120" s="59" t="str">
        <x:v>Minimum Profit at Eligible Date</x:v>
      </x:c>
      <x:c r="D120" s="57" t="str">
        <x:v>No</x:v>
      </x:c>
      <x:c r="E120" s="57" t="str">
        <x:v>Yes</x:v>
      </x:c>
      <x:c r="F120" s="59" t="str">
        <x:v>Derived business-state or risk indicator.</x:v>
      </x:c>
    </x:row>
    <x:row r="121" ht="15" customHeight="1">
      <x:c r="A121" s="57" t="str">
        <x:v>Column</x:v>
      </x:c>
      <x:c r="B121" s="57" t="str">
        <x:v>Loan Assessment</x:v>
      </x:c>
      <x:c r="C121" s="59" t="str">
        <x:v>Required Coverage at Eligible Date</x:v>
      </x:c>
      <x:c r="D121" s="57" t="str">
        <x:v>No</x:v>
      </x:c>
      <x:c r="E121" s="57" t="str">
        <x:v>Yes</x:v>
      </x:c>
      <x:c r="F121" s="59" t="str">
        <x:v>Derived ratio or performance measure calculated from governed source values.</x:v>
      </x:c>
    </x:row>
    <x:row r="122" ht="15" customHeight="1">
      <x:c r="A122" s="57" t="str">
        <x:v>Column</x:v>
      </x:c>
      <x:c r="B122" s="57" t="str">
        <x:v>Loan Assessment</x:v>
      </x:c>
      <x:c r="C122" s="59" t="str">
        <x:v>Safety Margin</x:v>
      </x:c>
      <x:c r="D122" s="57" t="str">
        <x:v>No</x:v>
      </x:c>
      <x:c r="E122" s="57" t="str">
        <x:v>Yes</x:v>
      </x:c>
      <x:c r="F122" s="59" t="str">
        <x:v>Derived AppSheet value used by the app workflow, presentation, or reporting model.</x:v>
      </x:c>
    </x:row>
    <x:row r="123" ht="15" customHeight="1">
      <x:c r="A123" s="57" t="str">
        <x:v>Column</x:v>
      </x:c>
      <x:c r="B123" s="57" t="str">
        <x:v>Loan Assessment</x:v>
      </x:c>
      <x:c r="C123" s="59" t="str">
        <x:v>Current Coverage Margin</x:v>
      </x:c>
      <x:c r="D123" s="57" t="str">
        <x:v>No</x:v>
      </x:c>
      <x:c r="E123" s="57" t="str">
        <x:v>Yes</x:v>
      </x:c>
      <x:c r="F123" s="59" t="str">
        <x:v>Derived ratio or performance measure calculated from governed source values.</x:v>
      </x:c>
    </x:row>
    <x:row r="124" ht="15" customHeight="1">
      <x:c r="A124" s="57" t="str">
        <x:v>Column</x:v>
      </x:c>
      <x:c r="B124" s="57" t="str">
        <x:v>Loan Assessment</x:v>
      </x:c>
      <x:c r="C124" s="59" t="str">
        <x:v>Coverage Ratio at Eligible Date</x:v>
      </x:c>
      <x:c r="D124" s="57" t="str">
        <x:v>No</x:v>
      </x:c>
      <x:c r="E124" s="57" t="str">
        <x:v>Yes</x:v>
      </x:c>
      <x:c r="F124" s="59" t="str">
        <x:v>Derived ratio or performance measure calculated from governed source values.</x:v>
      </x:c>
    </x:row>
    <x:row r="125" ht="15" customHeight="1">
      <x:c r="A125" s="57" t="str">
        <x:v>Column</x:v>
      </x:c>
      <x:c r="B125" s="57" t="str">
        <x:v>Loan Assessment</x:v>
      </x:c>
      <x:c r="C125" s="59" t="str">
        <x:v>Recommendation Status</x:v>
      </x:c>
      <x:c r="D125" s="57" t="str">
        <x:v>No</x:v>
      </x:c>
      <x:c r="E125" s="57" t="str">
        <x:v>Yes</x:v>
      </x:c>
      <x:c r="F125" s="59" t="str">
        <x:v>Derived business-state or risk indicator.</x:v>
      </x:c>
    </x:row>
    <x:row r="126" ht="15" customHeight="1">
      <x:c r="A126" s="57" t="str">
        <x:v>Column</x:v>
      </x:c>
      <x:c r="B126" s="57" t="str">
        <x:v>Loan Assessment</x:v>
      </x:c>
      <x:c r="C126" s="59" t="str">
        <x:v>Recommendation</x:v>
      </x:c>
      <x:c r="D126" s="57" t="str">
        <x:v>No</x:v>
      </x:c>
      <x:c r="E126" s="57" t="str">
        <x:v>Yes</x:v>
      </x:c>
      <x:c r="F126" s="59" t="str">
        <x:v>Derived AppSheet value used by the app workflow, presentation, or reporting model.</x:v>
      </x:c>
    </x:row>
    <x:row r="127" ht="15" customHeight="1">
      <x:c r="A127" s="57" t="str">
        <x:v>Column</x:v>
      </x:c>
      <x:c r="B127" s="57" t="str">
        <x:v>Loan Assessment</x:v>
      </x:c>
      <x:c r="C127" s="59" t="str">
        <x:v>Header - Current Position</x:v>
      </x:c>
      <x:c r="D127" s="57" t="str">
        <x:v>No</x:v>
      </x:c>
      <x:c r="E127" s="57" t="str">
        <x:v>Yes</x:v>
      </x:c>
      <x:c r="F127" s="59" t="str">
        <x:v>Presentation-oriented label or bilingual display value.</x:v>
      </x:c>
    </x:row>
    <x:row r="128" ht="15" customHeight="1">
      <x:c r="A128" s="57" t="str">
        <x:v>Column</x:v>
      </x:c>
      <x:c r="B128" s="57" t="str">
        <x:v>Loan Assessment</x:v>
      </x:c>
      <x:c r="C128" s="59" t="str">
        <x:v>Header - Recommendation</x:v>
      </x:c>
      <x:c r="D128" s="57" t="str">
        <x:v>No</x:v>
      </x:c>
      <x:c r="E128" s="57" t="str">
        <x:v>Yes</x:v>
      </x:c>
      <x:c r="F128" s="59" t="str">
        <x:v>Presentation-oriented label or bilingual display value.</x:v>
      </x:c>
    </x:row>
    <x:row r="129" ht="15" customHeight="1">
      <x:c r="A129" s="57" t="str">
        <x:v>Column</x:v>
      </x:c>
      <x:c r="B129" s="57" t="str">
        <x:v>Loan Assessment</x:v>
      </x:c>
      <x:c r="C129" s="59" t="str">
        <x:v>Header - Calculation</x:v>
      </x:c>
      <x:c r="D129" s="57" t="str">
        <x:v>No</x:v>
      </x:c>
      <x:c r="E129" s="57" t="str">
        <x:v>Yes</x:v>
      </x:c>
      <x:c r="F129" s="59" t="str">
        <x:v>Presentation-oriented label or bilingual display value.</x:v>
      </x:c>
    </x:row>
    <x:row r="130" ht="15" customHeight="1">
      <x:c r="A130" s="57" t="str">
        <x:v>Column</x:v>
      </x:c>
      <x:c r="B130" s="57" t="str">
        <x:v>Loans</x:v>
      </x:c>
      <x:c r="C130" s="59" t="str">
        <x:v>Borrower Total Interest</x:v>
      </x:c>
      <x:c r="D130" s="57" t="str">
        <x:v>No</x:v>
      </x:c>
      <x:c r="E130" s="57" t="str">
        <x:v>Yes</x:v>
      </x:c>
      <x:c r="F130" s="59" t="str">
        <x:v>Derived financial aggregate or balance for operational or analytical use.</x:v>
      </x:c>
    </x:row>
    <x:row r="131" ht="15" customHeight="1">
      <x:c r="A131" s="57" t="str">
        <x:v>Column</x:v>
      </x:c>
      <x:c r="B131" s="57" t="str">
        <x:v>Loans</x:v>
      </x:c>
      <x:c r="C131" s="59" t="str">
        <x:v>Loan Start Day Index</x:v>
      </x:c>
      <x:c r="D131" s="57" t="str">
        <x:v>No</x:v>
      </x:c>
      <x:c r="E131" s="57" t="str">
        <x:v>Yes</x:v>
      </x:c>
      <x:c r="F131" s="59" t="str">
        <x:v>Derived AppSheet value used by the app workflow, presentation, or reporting model.</x:v>
      </x:c>
    </x:row>
    <x:row r="132" ht="15" customHeight="1">
      <x:c r="A132" s="57" t="str">
        <x:v>Column</x:v>
      </x:c>
      <x:c r="B132" s="57" t="str">
        <x:v>Loans</x:v>
      </x:c>
      <x:c r="C132" s="59" t="str">
        <x:v>Principal Start Weight</x:v>
      </x:c>
      <x:c r="D132" s="57" t="str">
        <x:v>No</x:v>
      </x:c>
      <x:c r="E132" s="57" t="str">
        <x:v>Yes</x:v>
      </x:c>
      <x:c r="F132" s="59" t="str">
        <x:v>Derived financial aggregate or balance for operational or analytical use.</x:v>
      </x:c>
    </x:row>
    <x:row r="133" ht="15" customHeight="1">
      <x:c r="A133" s="57" t="str">
        <x:v>Column</x:v>
      </x:c>
      <x:c r="B133" s="57" t="str">
        <x:v>Loans</x:v>
      </x:c>
      <x:c r="C133" s="59" t="str">
        <x:v>Loan End Date</x:v>
      </x:c>
      <x:c r="D133" s="57" t="str">
        <x:v>No</x:v>
      </x:c>
      <x:c r="E133" s="57" t="str">
        <x:v>Yes</x:v>
      </x:c>
      <x:c r="F133" s="59" t="str">
        <x:v>Derived date, time-window, age, or delinquency measure.</x:v>
      </x:c>
    </x:row>
    <x:row r="134" ht="15" customHeight="1">
      <x:c r="A134" s="57" t="str">
        <x:v>Column</x:v>
      </x:c>
      <x:c r="B134" s="57" t="str">
        <x:v>Loans</x:v>
      </x:c>
      <x:c r="C134" s="59" t="str">
        <x:v>30D Principal Days</x:v>
      </x:c>
      <x:c r="D134" s="57" t="str">
        <x:v>No</x:v>
      </x:c>
      <x:c r="E134" s="57" t="str">
        <x:v>Yes</x:v>
      </x:c>
      <x:c r="F134" s="59" t="str">
        <x:v>Derived date, time-window, age, or delinquency measure.</x:v>
      </x:c>
    </x:row>
    <x:row r="135" ht="15" customHeight="1">
      <x:c r="A135" s="57" t="str">
        <x:v>Column</x:v>
      </x:c>
      <x:c r="B135" s="57" t="str">
        <x:v>Loans</x:v>
      </x:c>
      <x:c r="C135" s="59" t="str">
        <x:v>Loan Age Days</x:v>
      </x:c>
      <x:c r="D135" s="57" t="str">
        <x:v>No</x:v>
      </x:c>
      <x:c r="E135" s="57" t="str">
        <x:v>Yes</x:v>
      </x:c>
      <x:c r="F135" s="59" t="str">
        <x:v>Derived date, time-window, age, or delinquency measure.</x:v>
      </x:c>
    </x:row>
    <x:row r="136" ht="15" customHeight="1">
      <x:c r="A136" s="57" t="str">
        <x:v>Column</x:v>
      </x:c>
      <x:c r="B136" s="57" t="str">
        <x:v>Loans</x:v>
      </x:c>
      <x:c r="C136" s="59" t="str">
        <x:v>Loan Age Bucket</x:v>
      </x:c>
      <x:c r="D136" s="57" t="str">
        <x:v>No</x:v>
      </x:c>
      <x:c r="E136" s="57" t="str">
        <x:v>Yes</x:v>
      </x:c>
      <x:c r="F136" s="59" t="str">
        <x:v>Derived grouping, ordering, or join value used by reporting or app presentation.</x:v>
      </x:c>
    </x:row>
    <x:row r="137" ht="15" customHeight="1">
      <x:c r="A137" s="57" t="str">
        <x:v>Column</x:v>
      </x:c>
      <x:c r="B137" s="57" t="str">
        <x:v>Loans</x:v>
      </x:c>
      <x:c r="C137" s="59" t="str">
        <x:v>Defaulted Flag</x:v>
      </x:c>
      <x:c r="D137" s="57" t="str">
        <x:v>No</x:v>
      </x:c>
      <x:c r="E137" s="57" t="str">
        <x:v>Yes</x:v>
      </x:c>
      <x:c r="F137" s="59" t="str">
        <x:v>Derived business-state or risk indicator.</x:v>
      </x:c>
    </x:row>
    <x:row r="138" ht="15" customHeight="1">
      <x:c r="A138" s="57" t="str">
        <x:v>Column</x:v>
      </x:c>
      <x:c r="B138" s="57" t="str">
        <x:v>Loans</x:v>
      </x:c>
      <x:c r="C138" s="59" t="str">
        <x:v>Maximum Days Late</x:v>
      </x:c>
      <x:c r="D138" s="57" t="str">
        <x:v>No</x:v>
      </x:c>
      <x:c r="E138" s="57" t="str">
        <x:v>Yes</x:v>
      </x:c>
      <x:c r="F138" s="59" t="str">
        <x:v>Derived business-state or risk indicator.</x:v>
      </x:c>
    </x:row>
    <x:row r="139" ht="15" customHeight="1">
      <x:c r="A139" s="57" t="str">
        <x:v>Column</x:v>
      </x:c>
      <x:c r="B139" s="57" t="str">
        <x:v>Loans</x:v>
      </x:c>
      <x:c r="C139" s="59" t="str">
        <x:v>Daily Installment Base Principal</x:v>
      </x:c>
      <x:c r="D139" s="57" t="str">
        <x:v>No</x:v>
      </x:c>
      <x:c r="E139" s="57" t="str">
        <x:v>Yes</x:v>
      </x:c>
      <x:c r="F139" s="59" t="str">
        <x:v>Hidden whole-baht base allocation used only by OLAP Calendar projection helpers.</x:v>
      </x:c>
    </x:row>
    <x:row r="140" ht="15" customHeight="1">
      <x:c r="A140" s="57" t="str">
        <x:v>Column</x:v>
      </x:c>
      <x:c r="B140" s="57" t="str">
        <x:v>Partners</x:v>
      </x:c>
      <x:c r="C140" s="59" t="str">
        <x:v>Related Cash Pool Contributions</x:v>
      </x:c>
      <x:c r="D140" s="57" t="str">
        <x:v>No</x:v>
      </x:c>
      <x:c r="E140" s="57" t="str">
        <x:v>Yes</x:v>
      </x:c>
      <x:c r="F140" s="59" t="str">
        <x:v>Reverse-reference list of child rows that point to this record.</x:v>
      </x:c>
    </x:row>
    <x:row r="141" ht="15" customHeight="1">
      <x:c r="A141" s="57" t="str">
        <x:v>Column</x:v>
      </x:c>
      <x:c r="B141" s="57" t="str">
        <x:v>Partners</x:v>
      </x:c>
      <x:c r="C141" s="59" t="str">
        <x:v>Related Settlements</x:v>
      </x:c>
      <x:c r="D141" s="57" t="str">
        <x:v>No</x:v>
      </x:c>
      <x:c r="E141" s="57" t="str">
        <x:v>Yes</x:v>
      </x:c>
      <x:c r="F141" s="59" t="str">
        <x:v>Reverse-reference list of child rows that point to this record.</x:v>
      </x:c>
    </x:row>
    <x:row r="142" ht="15" customHeight="1">
      <x:c r="A142" s="57" t="str">
        <x:v>Column</x:v>
      </x:c>
      <x:c r="B142" s="57" t="str">
        <x:v>Partners</x:v>
      </x:c>
      <x:c r="C142" s="59" t="str">
        <x:v>Current Pool Contribution</x:v>
      </x:c>
      <x:c r="D142" s="57" t="str">
        <x:v>No</x:v>
      </x:c>
      <x:c r="E142" s="57" t="str">
        <x:v>Yes</x:v>
      </x:c>
      <x:c r="F142" s="59" t="str">
        <x:v>Derived financial aggregate or balance for operational or analytical use.</x:v>
      </x:c>
    </x:row>
    <x:row r="143" ht="15" customHeight="1">
      <x:c r="A143" s="57" t="str">
        <x:v>Column</x:v>
      </x:c>
      <x:c r="B143" s="57" t="str">
        <x:v>Partners</x:v>
      </x:c>
      <x:c r="C143" s="59" t="str">
        <x:v>Current Pool Share</x:v>
      </x:c>
      <x:c r="D143" s="57" t="str">
        <x:v>No</x:v>
      </x:c>
      <x:c r="E143" s="57" t="str">
        <x:v>Yes</x:v>
      </x:c>
      <x:c r="F143" s="59" t="str">
        <x:v>Derived ratio or performance measure calculated from governed source values.</x:v>
      </x:c>
    </x:row>
    <x:row r="144" ht="15" customHeight="1">
      <x:c r="A144" s="57" t="str">
        <x:v>Column</x:v>
      </x:c>
      <x:c r="B144" s="57" t="str">
        <x:v>Partners</x:v>
      </x:c>
      <x:c r="C144" s="59" t="str">
        <x:v>Total Profit Earned</x:v>
      </x:c>
      <x:c r="D144" s="57" t="str">
        <x:v>No</x:v>
      </x:c>
      <x:c r="E144" s="57" t="str">
        <x:v>Yes</x:v>
      </x:c>
      <x:c r="F144" s="59" t="str">
        <x:v>Derived financial aggregate or balance for operational or analytical use.</x:v>
      </x:c>
    </x:row>
    <x:row r="145" ht="15" customHeight="1">
      <x:c r="A145" s="57" t="str">
        <x:v>Column</x:v>
      </x:c>
      <x:c r="B145" s="57" t="str">
        <x:v>Partners</x:v>
      </x:c>
      <x:c r="C145" s="59" t="str">
        <x:v>Total Settlement Created</x:v>
      </x:c>
      <x:c r="D145" s="57" t="str">
        <x:v>No</x:v>
      </x:c>
      <x:c r="E145" s="57" t="str">
        <x:v>Yes</x:v>
      </x:c>
      <x:c r="F145" s="59" t="str">
        <x:v>Derived financial aggregate or balance for operational or analytical use.</x:v>
      </x:c>
    </x:row>
    <x:row r="146" ht="15" customHeight="1">
      <x:c r="A146" s="57" t="str">
        <x:v>Column</x:v>
      </x:c>
      <x:c r="B146" s="57" t="str">
        <x:v>Partners</x:v>
      </x:c>
      <x:c r="C146" s="59" t="str">
        <x:v>Completed Settlement</x:v>
      </x:c>
      <x:c r="D146" s="57" t="str">
        <x:v>No</x:v>
      </x:c>
      <x:c r="E146" s="57" t="str">
        <x:v>Yes</x:v>
      </x:c>
      <x:c r="F146" s="59" t="str">
        <x:v>Derived financial aggregate or balance for operational or analytical use.</x:v>
      </x:c>
    </x:row>
    <x:row r="147" ht="15" customHeight="1">
      <x:c r="A147" s="57" t="str">
        <x:v>Column</x:v>
      </x:c>
      <x:c r="B147" s="57" t="str">
        <x:v>Partners</x:v>
      </x:c>
      <x:c r="C147" s="59" t="str">
        <x:v>Pending Settlement</x:v>
      </x:c>
      <x:c r="D147" s="57" t="str">
        <x:v>No</x:v>
      </x:c>
      <x:c r="E147" s="57" t="str">
        <x:v>Yes</x:v>
      </x:c>
      <x:c r="F147" s="59" t="str">
        <x:v>Derived financial aggregate or balance for operational or analytical use.</x:v>
      </x:c>
    </x:row>
    <x:row r="148" ht="15" customHeight="1">
      <x:c r="A148" s="57" t="str">
        <x:v>Column</x:v>
      </x:c>
      <x:c r="B148" s="57" t="str">
        <x:v>Partners</x:v>
      </x:c>
      <x:c r="C148" s="59" t="str">
        <x:v>Available to Settle</x:v>
      </x:c>
      <x:c r="D148" s="57" t="str">
        <x:v>No</x:v>
      </x:c>
      <x:c r="E148" s="57" t="str">
        <x:v>Yes</x:v>
      </x:c>
      <x:c r="F148" s="59" t="str">
        <x:v>Derived AppSheet value used by the app workflow, presentation, or reporting model.</x:v>
      </x:c>
    </x:row>
    <x:row r="149" ht="15" customHeight="1">
      <x:c r="A149" s="57" t="str">
        <x:v>Column</x:v>
      </x:c>
      <x:c r="B149" s="57" t="str">
        <x:v>Partners</x:v>
      </x:c>
      <x:c r="C149" s="59" t="str">
        <x:v>Summary - Available Pending Settlement</x:v>
      </x:c>
      <x:c r="D149" s="57" t="str">
        <x:v>No</x:v>
      </x:c>
      <x:c r="E149" s="57" t="str">
        <x:v>Yes</x:v>
      </x:c>
      <x:c r="F149" s="59" t="str">
        <x:v>Presentation-oriented label or bilingual display value.</x:v>
      </x:c>
    </x:row>
    <x:row r="150" ht="15" customHeight="1">
      <x:c r="A150" s="57" t="str">
        <x:v>Column</x:v>
      </x:c>
      <x:c r="B150" s="57" t="str">
        <x:v>Partners</x:v>
      </x:c>
      <x:c r="C150" s="59" t="str">
        <x:v>Summary - Completed Settlement</x:v>
      </x:c>
      <x:c r="D150" s="57" t="str">
        <x:v>No</x:v>
      </x:c>
      <x:c r="E150" s="57" t="str">
        <x:v>Yes</x:v>
      </x:c>
      <x:c r="F150" s="59" t="str">
        <x:v>Presentation-oriented label or bilingual display value.</x:v>
      </x:c>
    </x:row>
    <x:row r="151" ht="15" customHeight="1">
      <x:c r="A151" s="57" t="str">
        <x:v>Column</x:v>
      </x:c>
      <x:c r="B151" s="57" t="str">
        <x:v>Partners</x:v>
      </x:c>
      <x:c r="C151" s="59" t="str">
        <x:v>Summary - Total Profit Earned</x:v>
      </x:c>
      <x:c r="D151" s="57" t="str">
        <x:v>No</x:v>
      </x:c>
      <x:c r="E151" s="57" t="str">
        <x:v>Yes</x:v>
      </x:c>
      <x:c r="F151" s="59" t="str">
        <x:v>Presentation-oriented label or bilingual display value.</x:v>
      </x:c>
    </x:row>
    <x:row r="152" ht="15" customHeight="1">
      <x:c r="A152" s="57" t="str">
        <x:v>Column</x:v>
      </x:c>
      <x:c r="B152" s="57" t="str">
        <x:v>Repayments</x:v>
      </x:c>
      <x:c r="C152" s="59" t="str">
        <x:v>Pool Total at Payment Date</x:v>
      </x:c>
      <x:c r="D152" s="57" t="str">
        <x:v>No</x:v>
      </x:c>
      <x:c r="E152" s="57" t="str">
        <x:v>Yes</x:v>
      </x:c>
      <x:c r="F152" s="59" t="str">
        <x:v>Derived date, time-window, age, or delinquency measure.</x:v>
      </x:c>
    </x:row>
    <x:row r="153" ht="15" customHeight="1">
      <x:c r="A153" s="57" t="str">
        <x:v>Column</x:v>
      </x:c>
      <x:c r="B153" s="57" t="str">
        <x:v>Repayments</x:v>
      </x:c>
      <x:c r="C153" s="59" t="str">
        <x:v>Partner A Contribution at Payment Date</x:v>
      </x:c>
      <x:c r="D153" s="57" t="str">
        <x:v>No</x:v>
      </x:c>
      <x:c r="E153" s="57" t="str">
        <x:v>Yes</x:v>
      </x:c>
      <x:c r="F153" s="59" t="str">
        <x:v>Derived date, time-window, age, or delinquency measure.</x:v>
      </x:c>
    </x:row>
    <x:row r="154" ht="15" customHeight="1">
      <x:c r="A154" s="57" t="str">
        <x:v>Column</x:v>
      </x:c>
      <x:c r="B154" s="57" t="str">
        <x:v>Repayments</x:v>
      </x:c>
      <x:c r="C154" s="59" t="str">
        <x:v>Partner B Contribution at Payment Date</x:v>
      </x:c>
      <x:c r="D154" s="57" t="str">
        <x:v>No</x:v>
      </x:c>
      <x:c r="E154" s="57" t="str">
        <x:v>Yes</x:v>
      </x:c>
      <x:c r="F154" s="59" t="str">
        <x:v>Derived date, time-window, age, or delinquency measure.</x:v>
      </x:c>
    </x:row>
    <x:row r="155" ht="15" customHeight="1">
      <x:c r="A155" s="57" t="str">
        <x:v>Column</x:v>
      </x:c>
      <x:c r="B155" s="57" t="str">
        <x:v>Repayments</x:v>
      </x:c>
      <x:c r="C155" s="59" t="str">
        <x:v>Partner A Profit Share</x:v>
      </x:c>
      <x:c r="D155" s="57" t="str">
        <x:v>No</x:v>
      </x:c>
      <x:c r="E155" s="57" t="str">
        <x:v>Yes</x:v>
      </x:c>
      <x:c r="F155" s="59" t="str">
        <x:v>Derived ratio or performance measure calculated from governed source values.</x:v>
      </x:c>
    </x:row>
    <x:row r="156" ht="15" customHeight="1">
      <x:c r="A156" s="57" t="str">
        <x:v>Column</x:v>
      </x:c>
      <x:c r="B156" s="57" t="str">
        <x:v>Repayments</x:v>
      </x:c>
      <x:c r="C156" s="59" t="str">
        <x:v>Partner B Profit Share</x:v>
      </x:c>
      <x:c r="D156" s="57" t="str">
        <x:v>No</x:v>
      </x:c>
      <x:c r="E156" s="57" t="str">
        <x:v>Yes</x:v>
      </x:c>
      <x:c r="F156" s="59" t="str">
        <x:v>Derived ratio or performance measure calculated from governed source values.</x:v>
      </x:c>
    </x:row>
    <x:row r="157" ht="15" customHeight="1">
      <x:c r="A157" s="57" t="str">
        <x:v>Column</x:v>
      </x:c>
      <x:c r="B157" s="57" t="str">
        <x:v>Repayments</x:v>
      </x:c>
      <x:c r="C157" s="59" t="str">
        <x:v>Partner A Profit</x:v>
      </x:c>
      <x:c r="D157" s="57" t="str">
        <x:v>No</x:v>
      </x:c>
      <x:c r="E157" s="57" t="str">
        <x:v>Yes</x:v>
      </x:c>
      <x:c r="F157" s="59" t="str">
        <x:v>Derived financial aggregate or balance for operational or analytical use.</x:v>
      </x:c>
    </x:row>
    <x:row r="158" ht="15" customHeight="1">
      <x:c r="A158" s="57" t="str">
        <x:v>Column</x:v>
      </x:c>
      <x:c r="B158" s="57" t="str">
        <x:v>Repayments</x:v>
      </x:c>
      <x:c r="C158" s="59" t="str">
        <x:v>Partner B Profit</x:v>
      </x:c>
      <x:c r="D158" s="57" t="str">
        <x:v>No</x:v>
      </x:c>
      <x:c r="E158" s="57" t="str">
        <x:v>Yes</x:v>
      </x:c>
      <x:c r="F158" s="59" t="str">
        <x:v>Derived financial aggregate or balance for operational or analytical use.</x:v>
      </x:c>
    </x:row>
    <x:row r="159" ht="15" customHeight="1">
      <x:c r="A159" s="57" t="str">
        <x:v>Column</x:v>
      </x:c>
      <x:c r="B159" s="57" t="str">
        <x:v>Repayments</x:v>
      </x:c>
      <x:c r="C159" s="59" t="str">
        <x:v>Header - Profit</x:v>
      </x:c>
      <x:c r="D159" s="57" t="str">
        <x:v>No</x:v>
      </x:c>
      <x:c r="E159" s="57" t="str">
        <x:v>Yes</x:v>
      </x:c>
      <x:c r="F159" s="59" t="str">
        <x:v>Presentation-oriented label or bilingual display value.</x:v>
      </x:c>
    </x:row>
    <x:row r="160" ht="15" customHeight="1">
      <x:c r="A160" s="57" t="str">
        <x:v>Column</x:v>
      </x:c>
      <x:c r="B160" s="57" t="str">
        <x:v>Repayments</x:v>
      </x:c>
      <x:c r="C160" s="59" t="str">
        <x:v>30D Principal Reduction Days</x:v>
      </x:c>
      <x:c r="D160" s="57" t="str">
        <x:v>No</x:v>
      </x:c>
      <x:c r="E160" s="57" t="str">
        <x:v>Yes</x:v>
      </x:c>
      <x:c r="F160" s="59" t="str">
        <x:v>Derived date, time-window, age, or delinquency measure.</x:v>
      </x:c>
    </x:row>
    <x:row r="161" ht="15" customHeight="1">
      <x:c r="A161" s="57" t="str">
        <x:v>Column</x:v>
      </x:c>
      <x:c r="B161" s="57" t="str">
        <x:v>Settlements</x:v>
      </x:c>
      <x:c r="C161" s="59" t="str">
        <x:v>_RowNumber</x:v>
      </x:c>
      <x:c r="D161" s="57" t="str">
        <x:v>No</x:v>
      </x:c>
      <x:c r="E161" s="57" t="str">
        <x:v>Yes</x:v>
      </x:c>
      <x:c r="F161" s="59" t="str">
        <x:v>System-generated source-row ordinal; not a stable business key.</x:v>
      </x:c>
    </x:row>
    <x:row r="162" ht="15" customHeight="1">
      <x:c r="A162" s="57" t="str">
        <x:v>Column</x:v>
      </x:c>
      <x:c r="B162" s="57" t="str">
        <x:v>Settlements</x:v>
      </x:c>
      <x:c r="C162" s="59" t="str">
        <x:v>Row ID</x:v>
      </x:c>
      <x:c r="D162" s="57" t="str">
        <x:v>No</x:v>
      </x:c>
      <x:c r="E162" s="57" t="str">
        <x:v>Yes</x:v>
      </x:c>
      <x:c r="F162" s="59" t="str">
        <x:v>Immutable row key generated by the source database.</x:v>
      </x:c>
    </x:row>
    <x:row r="163" ht="15" customHeight="1">
      <x:c r="A163" s="57" t="str">
        <x:v>Column</x:v>
      </x:c>
      <x:c r="B163" s="57" t="str">
        <x:v>Settlements</x:v>
      </x:c>
      <x:c r="C163" s="59" t="str">
        <x:v>Settlement Date</x:v>
      </x:c>
      <x:c r="D163" s="57" t="str">
        <x:v>No</x:v>
      </x:c>
      <x:c r="E163" s="57" t="str">
        <x:v>Yes</x:v>
      </x:c>
      <x:c r="F163" s="59" t="str">
        <x:v>Stores the source date for Settlement Date.</x:v>
      </x:c>
    </x:row>
    <x:row r="164" ht="15" customHeight="1">
      <x:c r="A164" s="57" t="str">
        <x:v>Column</x:v>
      </x:c>
      <x:c r="B164" s="57" t="str">
        <x:v>Settlements</x:v>
      </x:c>
      <x:c r="C164" s="59" t="str">
        <x:v>Ref Partner</x:v>
      </x:c>
      <x:c r="D164" s="57" t="str">
        <x:v>No</x:v>
      </x:c>
      <x:c r="E164" s="57" t="str">
        <x:v>Yes</x:v>
      </x:c>
      <x:c r="F164" s="59" t="str">
        <x:v>Reference key that links this row to the configured parent table.</x:v>
      </x:c>
    </x:row>
    <x:row r="165" ht="15" customHeight="1">
      <x:c r="A165" s="57" t="str">
        <x:v>Column</x:v>
      </x:c>
      <x:c r="B165" s="57" t="str">
        <x:v>Settlements</x:v>
      </x:c>
      <x:c r="C165" s="59" t="str">
        <x:v>Amount</x:v>
      </x:c>
      <x:c r="D165" s="57" t="str">
        <x:v>No</x:v>
      </x:c>
      <x:c r="E165" s="57" t="str">
        <x:v>Yes</x:v>
      </x:c>
      <x:c r="F165" s="59" t="str">
        <x:v>Stores the financially material source value for Amount.</x:v>
      </x:c>
    </x:row>
    <x:row r="166" ht="15" customHeight="1">
      <x:c r="A166" s="57" t="str">
        <x:v>Column</x:v>
      </x:c>
      <x:c r="B166" s="57" t="str">
        <x:v>Settlements</x:v>
      </x:c>
      <x:c r="C166" s="59" t="str">
        <x:v>Status</x:v>
      </x:c>
      <x:c r="D166" s="57" t="str">
        <x:v>No</x:v>
      </x:c>
      <x:c r="E166" s="57" t="str">
        <x:v>Yes</x:v>
      </x:c>
      <x:c r="F166" s="59" t="str">
        <x:v>Stores the controlled workflow state for Status.</x:v>
      </x:c>
    </x:row>
    <x:row r="167" ht="15" customHeight="1">
      <x:c r="A167" s="57" t="str">
        <x:v>Column</x:v>
      </x:c>
      <x:c r="B167" s="57" t="str">
        <x:v>Settlements</x:v>
      </x:c>
      <x:c r="C167" s="59" t="str">
        <x:v>Transfer Date</x:v>
      </x:c>
      <x:c r="D167" s="57" t="str">
        <x:v>No</x:v>
      </x:c>
      <x:c r="E167" s="57" t="str">
        <x:v>Yes</x:v>
      </x:c>
      <x:c r="F167" s="59" t="str">
        <x:v>Stores the source date for Transfer Date.</x:v>
      </x:c>
    </x:row>
    <x:row r="168" ht="15" customHeight="1">
      <x:c r="A168" s="57" t="str">
        <x:v>Column</x:v>
      </x:c>
      <x:c r="B168" s="57" t="str">
        <x:v>Settlements</x:v>
      </x:c>
      <x:c r="C168" s="59" t="str">
        <x:v>Notes</x:v>
      </x:c>
      <x:c r="D168" s="57" t="str">
        <x:v>No</x:v>
      </x:c>
      <x:c r="E168" s="57" t="str">
        <x:v>Yes</x:v>
      </x:c>
      <x:c r="F168" s="59" t="str">
        <x:v>Stores the authoritative source value for Notes.</x:v>
      </x:c>
    </x:row>
    <x:row r="169" ht="15" customHeight="1">
      <x:c r="A169" s="57" t="str">
        <x:v>Column</x:v>
      </x:c>
      <x:c r="B169" s="57" t="str">
        <x:v>Statistics</x:v>
      </x:c>
      <x:c r="C169" s="59" t="str">
        <x:v>Active Loans</x:v>
      </x:c>
      <x:c r="D169" s="57" t="str">
        <x:v>No</x:v>
      </x:c>
      <x:c r="E169" s="57" t="str">
        <x:v>Yes</x:v>
      </x:c>
      <x:c r="F169" s="59" t="str">
        <x:v>Derived count used for workload, portfolio, or risk analysis.</x:v>
      </x:c>
    </x:row>
    <x:row r="170" ht="15" customHeight="1">
      <x:c r="A170" s="57" t="str">
        <x:v>Column</x:v>
      </x:c>
      <x:c r="B170" s="57" t="str">
        <x:v>Statistics</x:v>
      </x:c>
      <x:c r="C170" s="59" t="str">
        <x:v>Peak Cash Pool 30D</x:v>
      </x:c>
      <x:c r="D170" s="57" t="str">
        <x:v>No</x:v>
      </x:c>
      <x:c r="E170" s="57" t="str">
        <x:v>Yes</x:v>
      </x:c>
      <x:c r="F170" s="59" t="str">
        <x:v>Derived financial aggregate or balance for operational or analytical use.</x:v>
      </x:c>
    </x:row>
    <x:row r="171" ht="15" customHeight="1">
      <x:c r="A171" s="57" t="str">
        <x:v>Column</x:v>
      </x:c>
      <x:c r="B171" s="57" t="str">
        <x:v>Statistics</x:v>
      </x:c>
      <x:c r="C171" s="59" t="str">
        <x:v>Peak Cash Pool Date 30D</x:v>
      </x:c>
      <x:c r="D171" s="57" t="str">
        <x:v>No</x:v>
      </x:c>
      <x:c r="E171" s="57" t="str">
        <x:v>Yes</x:v>
      </x:c>
      <x:c r="F171" s="59" t="str">
        <x:v>Derived date, time-window, age, or delinquency measure.</x:v>
      </x:c>
    </x:row>
    <x:row r="172" ht="15" customHeight="1">
      <x:c r="A172" s="57" t="str">
        <x:v>Column</x:v>
      </x:c>
      <x:c r="B172" s="57" t="str">
        <x:v>Statistics</x:v>
      </x:c>
      <x:c r="C172" s="59" t="str">
        <x:v>Total Cash Pool</x:v>
      </x:c>
      <x:c r="D172" s="57" t="str">
        <x:v>No</x:v>
      </x:c>
      <x:c r="E172" s="57" t="str">
        <x:v>Yes</x:v>
      </x:c>
      <x:c r="F172" s="59" t="str">
        <x:v>Derived financial aggregate or balance for operational or analytical use.</x:v>
      </x:c>
    </x:row>
    <x:row r="173" ht="15" customHeight="1">
      <x:c r="A173" s="57" t="str">
        <x:v>Column</x:v>
      </x:c>
      <x:c r="B173" s="57" t="str">
        <x:v>Statistics</x:v>
      </x:c>
      <x:c r="C173" s="59" t="str">
        <x:v>Total Unsettled Profit</x:v>
      </x:c>
      <x:c r="D173" s="57" t="str">
        <x:v>No</x:v>
      </x:c>
      <x:c r="E173" s="57" t="str">
        <x:v>Yes</x:v>
      </x:c>
      <x:c r="F173" s="59" t="str">
        <x:v>Derived financial aggregate or balance for operational or analytical use.</x:v>
      </x:c>
    </x:row>
    <x:row r="174" ht="15" customHeight="1">
      <x:c r="A174" s="57" t="str">
        <x:v>Column</x:v>
      </x:c>
      <x:c r="B174" s="57" t="str">
        <x:v>Statistics</x:v>
      </x:c>
      <x:c r="C174" s="59" t="str">
        <x:v>Expected Loan Account Balance</x:v>
      </x:c>
      <x:c r="D174" s="57" t="str">
        <x:v>No</x:v>
      </x:c>
      <x:c r="E174" s="57" t="str">
        <x:v>Yes</x:v>
      </x:c>
      <x:c r="F174" s="59" t="str">
        <x:v>Derived count used for workload, portfolio, or risk analysis.</x:v>
      </x:c>
    </x:row>
    <x:row r="175" ht="15" customHeight="1">
      <x:c r="A175" s="57" t="str">
        <x:v>Column</x:v>
      </x:c>
      <x:c r="B175" s="57" t="str">
        <x:v>Statistics</x:v>
      </x:c>
      <x:c r="C175" s="59" t="str">
        <x:v>Header - Cash Pool</x:v>
      </x:c>
      <x:c r="D175" s="57" t="str">
        <x:v>No</x:v>
      </x:c>
      <x:c r="E175" s="57" t="str">
        <x:v>Yes</x:v>
      </x:c>
      <x:c r="F175" s="59" t="str">
        <x:v>Presentation-oriented label or bilingual display value.</x:v>
      </x:c>
    </x:row>
    <x:row r="176" ht="15" customHeight="1">
      <x:c r="A176" s="57" t="str">
        <x:v>Column</x:v>
      </x:c>
      <x:c r="B176" s="57" t="str">
        <x:v>Statistics</x:v>
      </x:c>
      <x:c r="C176" s="59" t="str">
        <x:v>Total Outstanding Principal</x:v>
      </x:c>
      <x:c r="D176" s="57" t="str">
        <x:v>No</x:v>
      </x:c>
      <x:c r="E176" s="57" t="str">
        <x:v>Yes</x:v>
      </x:c>
      <x:c r="F176" s="59" t="str">
        <x:v>Derived financial aggregate or balance for operational or analytical use.</x:v>
      </x:c>
    </x:row>
    <x:row r="177" ht="15" customHeight="1">
      <x:c r="A177" s="57" t="str">
        <x:v>Column</x:v>
      </x:c>
      <x:c r="B177" s="57" t="str">
        <x:v>Statistics</x:v>
      </x:c>
      <x:c r="C177" s="59" t="str">
        <x:v>Top 3 Borrower Concentration</x:v>
      </x:c>
      <x:c r="D177" s="57" t="str">
        <x:v>No</x:v>
      </x:c>
      <x:c r="E177" s="57" t="str">
        <x:v>Yes</x:v>
      </x:c>
      <x:c r="F177" s="59" t="str">
        <x:v>Derived AppSheet value used by the app workflow, presentation, or reporting model.</x:v>
      </x:c>
    </x:row>
    <x:row r="178" ht="15" customHeight="1">
      <x:c r="A178" s="57" t="str">
        <x:v>Column</x:v>
      </x:c>
      <x:c r="B178" s="57" t="str">
        <x:v>Statistics</x:v>
      </x:c>
      <x:c r="C178" s="59" t="str">
        <x:v>Amount Due Today</x:v>
      </x:c>
      <x:c r="D178" s="57" t="str">
        <x:v>No</x:v>
      </x:c>
      <x:c r="E178" s="57" t="str">
        <x:v>Yes</x:v>
      </x:c>
      <x:c r="F178" s="59" t="str">
        <x:v>Derived financial aggregate or balance for operational or analytical use.</x:v>
      </x:c>
    </x:row>
    <x:row r="179">
      <x:c r="A179" s="57" t="str">
        <x:v>Column</x:v>
      </x:c>
      <x:c r="B179" s="57" t="str">
        <x:v>Statistics</x:v>
      </x:c>
      <x:c r="C179" s="59" t="str">
        <x:v>Amount Collected Today</x:v>
      </x:c>
      <x:c r="D179" s="57" t="str">
        <x:v>No</x:v>
      </x:c>
      <x:c r="E179" s="57" t="str">
        <x:v>Yes</x:v>
      </x:c>
      <x:c r="F179" s="59" t="str">
        <x:v>Derived financial aggregate or balance for operational or analytical use.</x:v>
      </x:c>
    </x:row>
    <x:row r="180">
      <x:c r="A180" s="57" t="str">
        <x:v>Column</x:v>
      </x:c>
      <x:c r="B180" s="57" t="str">
        <x:v>Statistics</x:v>
      </x:c>
      <x:c r="C180" s="59" t="str">
        <x:v>Amount Outstanding Today</x:v>
      </x:c>
      <x:c r="D180" s="57" t="str">
        <x:v>No</x:v>
      </x:c>
      <x:c r="E180" s="57" t="str">
        <x:v>Yes</x:v>
      </x:c>
      <x:c r="F180" s="59" t="str">
        <x:v>Derived financial aggregate or balance for operational or analytical use.</x:v>
      </x:c>
    </x:row>
    <x:row r="181">
      <x:c r="A181" s="57" t="str">
        <x:v>Column</x:v>
      </x:c>
      <x:c r="B181" s="57" t="str">
        <x:v>Statistics</x:v>
      </x:c>
      <x:c r="C181" s="59" t="str">
        <x:v>Amount Collection Rate Today</x:v>
      </x:c>
      <x:c r="D181" s="57" t="str">
        <x:v>No</x:v>
      </x:c>
      <x:c r="E181" s="57" t="str">
        <x:v>Yes</x:v>
      </x:c>
      <x:c r="F181" s="59" t="str">
        <x:v>Derived ratio or performance measure calculated from governed source values.</x:v>
      </x:c>
    </x:row>
    <x:row r="182">
      <x:c r="A182" s="57" t="str">
        <x:v>Column</x:v>
      </x:c>
      <x:c r="B182" s="57" t="str">
        <x:v>Borrowers</x:v>
      </x:c>
      <x:c r="C182" s="59" t="str">
        <x:v>Projected Monthly Profit Contribution</x:v>
      </x:c>
      <x:c r="D182" s="57" t="str">
        <x:v>No</x:v>
      </x:c>
      <x:c r="E182" s="57" t="str">
        <x:v>Yes</x:v>
      </x:c>
      <x:c r="F182" s="59" t="str">
        <x:v>OLAP-only borrower-grain allocation of Projected Monthly Profit used by the fourth Analytics pie chart.</x:v>
      </x:c>
    </x:row>
    <x:row r="183">
      <x:c r="A183" s="57"/>
      <x:c r="B183" s="57"/>
      <x:c r="C183" s="59"/>
      <x:c r="D183" s="57"/>
      <x:c r="E183" s="57"/>
      <x:c r="F183" s="59"/>
    </x:row>
    <x:row r="184">
      <x:c r="A184" s="57"/>
      <x:c r="B184" s="57"/>
      <x:c r="C184" s="59"/>
      <x:c r="D184" s="57"/>
      <x:c r="E184" s="57"/>
      <x:c r="F184" s="59"/>
    </x:row>
    <x:row r="185">
      <x:c r="A185"/>
      <x:c r="B185"/>
      <x:c r="C185"/>
      <x:c r="D185"/>
      <x:c r="E185"/>
      <x:c r="F185"/>
    </x:row>
    <x:row r="186">
      <x:c r="A186" t="str">
        <x:v>Column</x:v>
      </x:c>
      <x:c r="B186" t="str">
        <x:v>Borrowers</x:v>
      </x:c>
      <x:c r="C186" t="str">
        <x:v>Matrix Active Borrower Count</x:v>
      </x:c>
      <x:c r="D186" t="str">
        <x:v>No</x:v>
      </x:c>
      <x:c r="E186" t="str">
        <x:v>Yes</x:v>
      </x:c>
      <x:c r="F186" t="str">
        <x:v>Dynamic active-borrower population used to calculate the equal-share contribution benchmark.</x:v>
      </x:c>
    </x:row>
    <x:row r="187">
      <x:c r="A187" t="str">
        <x:v>Column</x:v>
      </x:c>
      <x:c r="B187" t="str">
        <x:v>Borrowers</x:v>
      </x:c>
      <x:c r="C187" t="str">
        <x:v>Matrix Equal Share Benchmark</x:v>
      </x:c>
      <x:c r="D187" t="str">
        <x:v>No</x:v>
      </x:c>
      <x:c r="E187" t="str">
        <x:v>Yes</x:v>
      </x:c>
      <x:c r="F187" t="str">
        <x:v>Equal-share economic-contribution benchmark; one divided by the current active-borrower count.</x:v>
      </x:c>
    </x:row>
    <x:row r="188">
      <x:c r="A188" t="str">
        <x:v>Column</x:v>
      </x:c>
      <x:c r="B188" t="str">
        <x:v>Borrowers</x:v>
      </x:c>
      <x:c r="C188" t="str">
        <x:v>Matrix Economic Contribution</x:v>
      </x:c>
      <x:c r="D188" t="str">
        <x:v>No</x:v>
      </x:c>
      <x:c r="E188" t="str">
        <x:v>Yes</x:v>
      </x:c>
      <x:c r="F188" t="str">
        <x:v>Borrower share of positive realized interest profit over the trailing 30-day window among active borrowers.</x:v>
      </x:c>
    </x:row>
    <x:row r="189">
      <x:c r="A189" t="str">
        <x:v>Column</x:v>
      </x:c>
      <x:c r="B189" t="str">
        <x:v>Borrowers</x:v>
      </x:c>
      <x:c r="C189" t="str">
        <x:v>Matrix Recent Reliability Score</x:v>
      </x:c>
      <x:c r="D189" t="str">
        <x:v>No</x:v>
      </x:c>
      <x:c r="E189" t="str">
        <x:v>Yes</x:v>
      </x:c>
      <x:c r="F189" t="str">
        <x:v>Recent 30-day on-time performance component of the stability score.</x:v>
      </x:c>
    </x:row>
    <x:row r="190">
      <x:c r="A190" t="str">
        <x:v>Column</x:v>
      </x:c>
      <x:c r="B190" t="str">
        <x:v>Borrowers</x:v>
      </x:c>
      <x:c r="C190" t="str">
        <x:v>Matrix Historical Reliability Score</x:v>
      </x:c>
      <x:c r="D190" t="str">
        <x:v>No</x:v>
      </x:c>
      <x:c r="E190" t="str">
        <x:v>Yes</x:v>
      </x:c>
      <x:c r="F190" t="str">
        <x:v>Trailing 180-day on-time performance component of the stability score.</x:v>
      </x:c>
    </x:row>
    <x:row r="191">
      <x:c r="A191" t="str">
        <x:v>Column</x:v>
      </x:c>
      <x:c r="B191" t="str">
        <x:v>Borrowers</x:v>
      </x:c>
      <x:c r="C191" t="str">
        <x:v>Matrix Delay Severity Score</x:v>
      </x:c>
      <x:c r="D191" t="str">
        <x:v>No</x:v>
      </x:c>
      <x:c r="E191" t="str">
        <x:v>Yes</x:v>
      </x:c>
      <x:c r="F191" t="str">
        <x:v>Trailing 90-day delay-severity component, with default status taking precedence over days-late bands.</x:v>
      </x:c>
    </x:row>
    <x:row r="192">
      <x:c r="A192" t="str">
        <x:v>Column</x:v>
      </x:c>
      <x:c r="B192" t="str">
        <x:v>Borrowers</x:v>
      </x:c>
      <x:c r="C192" t="str">
        <x:v>Matrix Current Condition Score</x:v>
      </x:c>
      <x:c r="D192" t="str">
        <x:v>No</x:v>
      </x:c>
      <x:c r="E192" t="str">
        <x:v>Yes</x:v>
      </x:c>
      <x:c r="F192" t="str">
        <x:v>Current repayment-condition component; due-today items are not overdue and partial due-today payment scores separately.</x:v>
      </x:c>
    </x:row>
    <x:row r="193">
      <x:c r="A193" t="str">
        <x:v>Column</x:v>
      </x:c>
      <x:c r="B193" t="str">
        <x:v>Borrowers</x:v>
      </x:c>
      <x:c r="C193" t="str">
        <x:v>Matrix History Sufficient</x:v>
      </x:c>
      <x:c r="D193" t="str">
        <x:v>No</x:v>
      </x:c>
      <x:c r="E193" t="str">
        <x:v>Yes</x:v>
      </x:c>
      <x:c r="F193" t="str">
        <x:v>Flags borrowers with at least three past-due obligations spanning at least 30 days.</x:v>
      </x:c>
    </x:row>
    <x:row r="194">
      <x:c r="A194" t="str">
        <x:v>Column</x:v>
      </x:c>
      <x:c r="B194" t="str">
        <x:v>Borrowers</x:v>
      </x:c>
      <x:c r="C194" t="str">
        <x:v>Matrix Stability Score</x:v>
      </x:c>
      <x:c r="D194" t="str">
        <x:v>No</x:v>
      </x:c>
      <x:c r="E194" t="str">
        <x:v>Yes</x:v>
      </x:c>
      <x:c r="F194" t="str">
        <x:v>Weighted stability score with available-component normalization: recent reliability 45%, historical reliability 20%, delay severity 20%, and current condition 15%.</x:v>
      </x:c>
    </x:row>
    <x:row r="195">
      <x:c r="A195" t="str">
        <x:v>Column</x:v>
      </x:c>
      <x:c r="B195" t="str">
        <x:v>Borrowers</x:v>
      </x:c>
      <x:c r="C195" t="str">
        <x:v>Matrix Quadrant</x:v>
      </x:c>
      <x:c r="D195" t="str">
        <x:v>No</x:v>
      </x:c>
      <x:c r="E195" t="str">
        <x:v>Yes</x:v>
      </x:c>
      <x:c r="F195" t="str">
        <x:v>Assigns active borrowers to Star, Cash Cow, Question Mark, Dog, provisional, or unclassified segments using the equal-share and 80-point thresholds.</x:v>
      </x:c>
    </x:row>
    <x:row r="196" ht="55" customHeight="1">
      <x:c r="A196" s="73" t="str">
        <x:v>Column</x:v>
      </x:c>
      <x:c r="B196" s="73" t="str">
        <x:v>Borrowers</x:v>
      </x:c>
      <x:c r="C196" s="73" t="str">
        <x:v>Matrix Bubble Label</x:v>
      </x:c>
      <x:c r="D196" s="73" t="str">
        <x:v>No</x:v>
      </x:c>
      <x:c r="E196" s="73" t="str">
        <x:v>Yes</x:v>
      </x:c>
      <x:c r="F196" s="73" t="str">
        <x:v>Borrower label with its matrix classification for borrower-grain Looker Studio bubbles.</x:v>
      </x:c>
    </x:row>
    <x:row r="197" ht="55" customHeight="1">
      <x:c r="A197" s="73" t="str">
        <x:v>Table</x:v>
      </x:c>
      <x:c r="B197" s="73" t="str">
        <x:v>Payments</x:v>
      </x:c>
      <x:c r="C197" s="73" t="str">
        <x:v>Payments</x:v>
      </x:c>
      <x:c r="D197" s="73" t="str">
        <x:v>Yes</x:v>
      </x:c>
      <x:c r="E197" s="73" t="str">
        <x:v>No</x:v>
      </x:c>
      <x:c r="F197" s="73" t="str">
        <x:v>Production universal receipt engine; OLTP only.</x:v>
      </x:c>
    </x:row>
    <x:row r="198" ht="55" customHeight="1">
      <x:c r="A198" s="73" t="str">
        <x:v>Table</x:v>
      </x:c>
      <x:c r="B198" s="73" t="str">
        <x:v>Payment Allocations</x:v>
      </x:c>
      <x:c r="C198" s="73" t="str">
        <x:v>Payment Allocations</x:v>
      </x:c>
      <x:c r="D198" s="73" t="str">
        <x:v>Yes</x:v>
      </x:c>
      <x:c r="E198" s="73" t="str">
        <x:v>No</x:v>
      </x:c>
      <x:c r="F198" s="73" t="str">
        <x:v>Production snapshots and allocation processing; OLTP only.</x:v>
      </x:c>
    </x:row>
    <x:row r="199" ht="55" customHeight="1">
      <x:c r="A199" s="73" t="str">
        <x:v>Column</x:v>
      </x:c>
      <x:c r="B199" s="73" t="str">
        <x:v>Repayments</x:v>
      </x:c>
      <x:c r="C199" s="73" t="str">
        <x:v>Ref Payment</x:v>
      </x:c>
      <x:c r="D199" s="73" t="str">
        <x:v>Yes</x:v>
      </x:c>
      <x:c r="E199" s="73" t="str">
        <x:v>No</x:v>
      </x:c>
      <x:c r="F199" s="73" t="str">
        <x:v>Shared native Reference exists, but OLAP has not loaded/regenerated the trace fields.</x:v>
      </x:c>
    </x:row>
    <x:row r="200" ht="55" customHeight="1">
      <x:c r="A200" s="73" t="str">
        <x:v>Column</x:v>
      </x:c>
      <x:c r="B200" s="73" t="str">
        <x:v>Repayments</x:v>
      </x:c>
      <x:c r="C200" s="73" t="str">
        <x:v>Ref Payment Allocation</x:v>
      </x:c>
      <x:c r="D200" s="73" t="str">
        <x:v>Yes</x:v>
      </x:c>
      <x:c r="E200" s="73" t="str">
        <x:v>No</x:v>
      </x:c>
      <x:c r="F200" s="73" t="str">
        <x:v>Shared native Reference exists, but OLAP has not loaded/regenerated the trace fields.</x:v>
      </x:c>
    </x:row>
    <x:row r="201" ht="55" customHeight="1">
      <x:c r="A201" s="73" t="str">
        <x:v>Column</x:v>
      </x:c>
      <x:c r="B201" s="73" t="str">
        <x:v>Borrowers</x:v>
      </x:c>
      <x:c r="C201" s="73" t="str">
        <x:v>Related Payments</x:v>
      </x:c>
      <x:c r="D201" s="73" t="str">
        <x:v>Yes</x:v>
      </x:c>
      <x:c r="E201" s="73" t="str">
        <x:v>No</x:v>
      </x:c>
      <x:c r="F201" s="73" t="str">
        <x:v>New OLTP reverse-reference VC.</x:v>
      </x:c>
    </x:row>
    <x:row r="202" ht="55" customHeight="1">
      <x:c r="A202" s="73" t="str">
        <x:v>Column</x:v>
      </x:c>
      <x:c r="B202" s="73" t="str">
        <x:v>Charges</x:v>
      </x:c>
      <x:c r="C202" s="73" t="str">
        <x:v>Related Payment Allocations</x:v>
      </x:c>
      <x:c r="D202" s="73" t="str">
        <x:v>Yes</x:v>
      </x:c>
      <x:c r="E202" s="73" t="str">
        <x:v>No</x:v>
      </x:c>
      <x:c r="F202" s="73" t="str">
        <x:v>New OLTP reverse-reference VC.</x:v>
      </x:c>
    </x:row>
    <x:row r="203">
      <x:c r="A203" t="str">
        <x:v>Column</x:v>
      </x:c>
      <x:c r="B203" t="str">
        <x:v>Charges</x:v>
      </x:c>
      <x:c r="C203" t="str">
        <x:v>Related Payments</x:v>
      </x:c>
      <x:c r="D203" t="str">
        <x:v>Yes</x:v>
      </x:c>
      <x:c r="E203" t="str">
        <x:v>No</x:v>
      </x:c>
      <x:c r="F203" t="str">
        <x:v>New OLTP reverse-reference VC.</x:v>
      </x:c>
    </x:row>
  </x:sheetData>
  <x:mergeCells>
    <x:mergeCell ref="A2:F2"/>
    <x:mergeCell ref="A1:F1"/>
  </x:mergeCells>
  <x:conditionalFormatting sqref="D5:E178">
    <x:cfRule type="containsText" dxfId="2" priority="1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70438228ee84477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30" customWidth="1"/>
    <x:col min="3" max="3" width="22" customWidth="1"/>
    <x:col min="4" max="4" width="28" customWidth="1"/>
    <x:col min="5" max="5" width="18" customWidth="1"/>
    <x:col min="6" max="6" width="72" customWidth="1"/>
    <x:col min="7" max="7" width="36" customWidth="1"/>
    <x:col min="8" max="8" width="24" customWidth="1"/>
    <x:col min="9" max="9" width="18" customWidth="1"/>
  </x:cols>
  <x:sheetData>
    <x:row r="1" ht="30" customHeight="1">
      <x:c r="A1" s="3" t="inlineStr">
        <x:is>
          <x:t xml:space="preserve">Change Log</x:t>
        </x:is>
      </x:c>
    </x:row>
    <x:row r="2" ht="30" customHeight="1">
      <x:c r="A2" s="7" t="inlineStr">
        <x:is>
          <x:t xml:space="preserve">Reserved historical worksheet. Authoritative change history is maintained as Markdown in Change Logs/.</x:t>
        </x:is>
      </x:c>
    </x:row>
    <x:row r="4" ht="30" customHeight="1">
      <x:c r="A4" s="50" t="inlineStr">
        <x:is>
          <x:t xml:space="preserve">Date</x:t>
        </x:is>
      </x:c>
      <x:c r="B4" s="51" t="inlineStr">
        <x:is>
          <x:t xml:space="preserve">Artifact</x:t>
        </x:is>
      </x:c>
      <x:c r="C4" s="51" t="inlineStr">
        <x:is>
          <x:t xml:space="preserve">Object Type</x:t>
        </x:is>
      </x:c>
      <x:c r="D4" s="51" t="inlineStr">
        <x:is>
          <x:t xml:space="preserve">Object Name</x:t>
        </x:is>
      </x:c>
      <x:c r="E4" s="51" t="inlineStr">
        <x:is>
          <x:t xml:space="preserve">Change Type</x:t>
        </x:is>
      </x:c>
      <x:c r="F4" s="51" t="inlineStr">
        <x:is>
          <x:t xml:space="preserve">Summary</x:t>
        </x:is>
      </x:c>
      <x:c r="G4" s="51" t="inlineStr">
        <x:is>
          <x:t xml:space="preserve">Source Baseline</x:t>
        </x:is>
      </x:c>
      <x:c r="H4" s="51" t="inlineStr">
        <x:is>
          <x:t xml:space="preserve">Reconciled with AppSheet?</x:t>
        </x:is>
      </x:c>
      <x:c r="I4" s="52" t="inlineStr">
        <x:is>
          <x:t xml:space="preserve">Updated By</x:t>
        </x:is>
      </x:c>
    </x:row>
    <x:row r="5" ht="21.600000381469727" customHeight="1">
      <x:c r="A5" s="70" t="n">
        <x:v>46264</x:v>
      </x:c>
      <x:c r="B5" s="58" t="inlineStr">
        <x:is>
          <x:t xml:space="preserve">Word + Excel reference pair</x:t>
        </x:is>
      </x:c>
      <x:c r="C5" s="56" t="inlineStr">
        <x:is>
          <x:t xml:space="preserve">Reference structure</x:t>
        </x:is>
      </x:c>
      <x:c r="D5" s="58" t="inlineStr">
        <x:is>
          <x:t xml:space="preserve">Initial split</x:t>
        </x:is>
      </x:c>
      <x:c r="E5" s="56" t="inlineStr">
        <x:is>
          <x:t xml:space="preserve">Conversion</x:t>
        </x:is>
      </x:c>
      <x:c r="F5" s="58" t="inlineStr">
        <x:is>
          <x:t xml:space="preserve">Split the existing Word baseline into a descriptive Word overview and a filterable Excel technical dictionary. No live AppSheet comparison was performed.</x:t>
        </x:is>
      </x:c>
      <x:c r="G5" s="58" t="inlineStr">
        <x:is>
          <x:t xml:space="preserve">AppSheet_Data_Model_Reference.docx (2026-08-29)</x:t>
        </x:is>
      </x:c>
      <x:c r="H5" s="56" t="inlineStr">
        <x:is>
          <x:t xml:space="preserve">Pending</x:t>
        </x:is>
      </x:c>
      <x:c r="I5" s="56" t="inlineStr">
        <x:is>
          <x:t xml:space="preserve">Codex</x:t>
        </x:is>
      </x:c>
    </x:row>
    <x:row r="6">
      <x:c r="A6" t="str">
        <x:v>2026-09-02</x:v>
      </x:c>
      <x:c r="B6" t="str">
        <x:v>Excel data dictionary</x:v>
      </x:c>
      <x:c r="C6" t="str">
        <x:v>OLAP virtual column</x:v>
      </x:c>
      <x:c r="D6" t="str">
        <x:v>Borrowers[Projected Monthly Profit Contribution]</x:v>
      </x:c>
      <x:c r="E6" t="str">
        <x:v>Add and reconcile</x:v>
      </x:c>
      <x:c r="F6" t="str">
        <x:v>Documented the borrower-level Projected Monthly Profit contribution VC, the fourth Analytics pie chart dependency, and the current OLAP loading of Hidden Flag.</x:v>
      </x:c>
      <x:c r="G6" t="str">
        <x:v>Loan Business Insights v1.000171; rollback v1.000167</x:v>
      </x:c>
      <x:c r="H6" t="str">
        <x:v>Yes — affected objects</x:v>
      </x:c>
      <x:c r="I6" t="str">
        <x:v>Codex</x:v>
      </x:c>
    </x:row>
    <x:row r="7">
      <x:c r="A7" t="str">
        <x:v>2026-09-03</x:v>
      </x:c>
      <x:c r="B7" t="str">
        <x:v>Excel data dictionary</x:v>
      </x:c>
      <x:c r="C7" t="str">
        <x:v>OLAP slice</x:v>
      </x:c>
      <x:c r="D7" t="str">
        <x:v>Todays Collection Board</x:v>
      </x:c>
      <x:c r="E7" t="str">
        <x:v>Add and reconcile</x:v>
      </x:c>
      <x:c r="F7" t="str">
        <x:v>Documented the new read-only OLAP collection slice, exact OLAP-native column order, purpose, filter, and rollback baseline.</x:v>
      </x:c>
      <x:c r="G7" t="str">
        <x:v>Loan Business Insights v1.000192; rollback v1.000191</x:v>
      </x:c>
      <x:c r="H7" t="str">
        <x:v>Yes — affected slice</x:v>
      </x:c>
      <x:c r="I7" t="str">
        <x:v>Codex</x:v>
      </x:c>
    </x:row>
  </x:sheetData>
  <x:mergeCells>
    <x:mergeCell ref="A1:I1"/>
    <x:mergeCell ref="A2:I2"/>
  </x:mergeCells>
  <x:conditionalFormatting sqref="H5:H100">
    <x:cfRule type="containsText" dxfId="3" priority="1" operator="containsText" text="Pending"/>
  </x:conditionalFormatting>
  <x:dataValidations count="1">
    <x:dataValidation type="list" allowBlank="0" showDropDown="0" showInputMessage="0" showErrorMessage="0" sqref="H5:H100">
      <x:formula1>"Pending,Yes,No,Partial"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04abbc8c0a40d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4" hidden="0" customWidth="1"/>
    <x:col min="2" max="2" width="12" hidden="0" customWidth="1"/>
    <x:col min="3" max="3" width="31" hidden="0" customWidth="1"/>
    <x:col min="4" max="4" width="24" hidden="0" customWidth="1"/>
    <x:col min="5" max="5" width="22" hidden="0" customWidth="1"/>
    <x:col min="6" max="6" width="48" hidden="0" customWidth="1"/>
    <x:col min="7" max="7" width="45" hidden="0" customWidth="1"/>
    <x:col min="8" max="8" width="100" hidden="0" customWidth="1"/>
  </x:cols>
  <x:sheetData>
    <x:row r="1">
      <x:c r="A1" t="str">
        <x:v>Universal payments clone</x:v>
      </x:c>
      <x:c r="B1"/>
      <x:c r="C1"/>
      <x:c r="D1"/>
      <x:c r="E1"/>
      <x:c r="F1"/>
      <x:c r="G1"/>
      <x:c r="H1"/>
    </x:row>
    <x:row r="2" ht="36" customHeight="1">
      <x:c r="A2" t="str">
        <x:v>Schema checkpoint 2026-09-06, clone v1.000065. 54 inspected definitions, including processing-time metadata locks. Targeted payment tests pass after fixes; broader testing continues. Production and OLAP unchanged.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>
      <x:c r="A4" t="str">
        <x:v>Table</x:v>
      </x:c>
      <x:c r="B4" t="str">
        <x:v>App order</x:v>
      </x:c>
      <x:c r="C4" t="str">
        <x:v>Column</x:v>
      </x:c>
      <x:c r="D4" t="str">
        <x:v>Kind / type</x:v>
      </x:c>
      <x:c r="E4" t="str">
        <x:v>Availability</x:v>
      </x:c>
      <x:c r="F4" t="str">
        <x:v>Flags</x:v>
      </x:c>
      <x:c r="G4" t="str">
        <x:v>Purpose</x:v>
      </x:c>
      <x:c r="H4" t="str">
        <x:v>Definition / expression</x:v>
      </x:c>
    </x:row>
    <x:row r="5" ht="40" customHeight="1">
      <x:c r="A5" s="74" t="str">
        <x:v>Payments</x:v>
      </x:c>
      <x:c r="B5" s="74" t="n">
        <x:v>1</x:v>
      </x:c>
      <x:c r="C5" s="74" t="str">
        <x:v>_RowNumber</x:v>
      </x:c>
      <x:c r="D5" s="74" t="str">
        <x:v>Physical / Number</x:v>
      </x:c>
      <x:c r="E5" s="74" t="str">
        <x:v>OLTP test clone only</x:v>
      </x:c>
      <x:c r="F5" s="74" t="str">
        <x:v>Hidden; not key</x:v>
      </x:c>
      <x:c r="G5" s="74" t="str">
        <x:v>Source row ordinal</x:v>
      </x:c>
      <x:c r="H5" s="74" t="str">
        <x:v>System source ordinal</x:v>
      </x:c>
    </x:row>
    <x:row r="6" ht="40" customHeight="1">
      <x:c r="A6" s="74" t="str">
        <x:v>Payments</x:v>
      </x:c>
      <x:c r="B6" s="74" t="n">
        <x:v>2</x:v>
      </x:c>
      <x:c r="C6" s="74" t="str">
        <x:v>Row ID</x:v>
      </x:c>
      <x:c r="D6" s="74" t="str">
        <x:v>Physical / Text</x:v>
      </x:c>
      <x:c r="E6" s="74" t="str">
        <x:v>OLTP test clone only</x:v>
      </x:c>
      <x:c r="F6" s="74" t="str">
        <x:v>Key; required; hidden; not editable</x:v>
      </x:c>
      <x:c r="G6" s="74" t="str">
        <x:v>Stable native database key</x:v>
      </x:c>
      <x:c r="H6" s="74" t="str">
        <x:v>Initial: UNIQUEID("PackedUUID")</x:v>
      </x:c>
    </x:row>
    <x:row r="7" ht="40" customHeight="1">
      <x:c r="A7" s="74" t="str">
        <x:v>Payments</x:v>
      </x:c>
      <x:c r="B7" s="74" t="n">
        <x:v>3</x:v>
      </x:c>
      <x:c r="C7" s="74" t="str">
        <x:v>Status</x:v>
      </x:c>
      <x:c r="D7" s="74" t="str">
        <x:v>Physical / Enum</x:v>
      </x:c>
      <x:c r="E7" s="74" t="str">
        <x:v>OLTP test clone only</x:v>
      </x:c>
      <x:c r="F7" s="74" t="str">
        <x:v>Required; Editable_If FALSE; other values false</x:v>
      </x:c>
      <x:c r="G7" s="74" t="str">
        <x:v>Processing state</x:v>
      </x:c>
      <x:c r="H7" s="74" t="str">
        <x:v>Values: Processing, Posted, Error; initial: "Processing". Base Editable enabled so actions can write; user edits blocked by expression FALSE.</x:v>
      </x:c>
    </x:row>
    <x:row r="8" ht="110" customHeight="1">
      <x:c r="A8" s="74" t="str">
        <x:v>Payments</x:v>
      </x:c>
      <x:c r="B8" s="74" t="n">
        <x:v>4</x:v>
      </x:c>
      <x:c r="C8" s="74" t="str">
        <x:v>Amount Received</x:v>
      </x:c>
      <x:c r="D8" s="74" t="str">
        <x:v>Physical / Price</x:v>
      </x:c>
      <x:c r="E8" s="74" t="str">
        <x:v>OLTP test clone only</x:v>
      </x:c>
      <x:c r="F8" s="74" t="str">
        <x:v>Required; 0 decimals; ฿; locked after creation</x:v>
      </x:c>
      <x:c r="G8" s="74" t="str">
        <x:v>Actual receipt amount</x:v>
      </x:c>
      <x:c r="H8" s="74" t="str">
        <x:v>Editable_If: NOT(IN([Row ID], Payments[Row ID])). Valid If: OR(IN([Row ID], Payments[Row ID]), AND([_THIS] &gt; 0, [_THIS] = ROUND([_THIS]), [_THIS] &lt;= [Eligible Outstanding], IF(IN([Allocation Method], LIST("Single Full", "Receive All", "First-day Auto", "Loan Close")), [_THIS] = [Eligible Outstanding], TRUE))). Description: CONCATENATE("ยอดคงเหลือที่ชำระได้ / Current eligible outstanding: ฿ ", [Eligible Outstanding]). Error unchanged: "Enter a positive whole-baht amount within the eligible outstanding balance. Full-payment methods must equal that balance."</x:v>
      </x:c>
    </x:row>
    <x:row r="9" ht="40" customHeight="1">
      <x:c r="A9" s="74" t="str">
        <x:v>Payments</x:v>
      </x:c>
      <x:c r="B9" s="74" t="n">
        <x:v>5</x:v>
      </x:c>
      <x:c r="C9" s="74" t="str">
        <x:v>Payment Method</x:v>
      </x:c>
      <x:c r="D9" s="74" t="str">
        <x:v>Physical / Enum</x:v>
      </x:c>
      <x:c r="E9" s="74" t="str">
        <x:v>OLTP test clone only</x:v>
      </x:c>
      <x:c r="F9" s="74" t="str">
        <x:v>Required; Text base; other values/autocomplete false</x:v>
      </x:c>
      <x:c r="G9" s="74" t="str">
        <x:v>Receipt channel</x:v>
      </x:c>
      <x:c r="H9" s="74" t="str">
        <x:v>Values: Bank Transfer, Cash, Net-off at Disbursement. Initial: "Bank Transfer". Editable_If: NOT(IN([Row ID], Payments[Row ID]))</x:v>
      </x:c>
    </x:row>
    <x:row r="10" ht="40" customHeight="1">
      <x:c r="A10" s="74" t="str">
        <x:v>Payments</x:v>
      </x:c>
      <x:c r="B10" s="74" t="n">
        <x:v>6</x:v>
      </x:c>
      <x:c r="C10" s="74" t="str">
        <x:v>Allocation Method</x:v>
      </x:c>
      <x:c r="D10" s="74" t="str">
        <x:v>Physical / Enum</x:v>
      </x:c>
      <x:c r="E10" s="74" t="str">
        <x:v>OLTP test clone only</x:v>
      </x:c>
      <x:c r="F10" s="74" t="str">
        <x:v>Required; Text base; other values/autocomplete false</x:v>
      </x:c>
      <x:c r="G10" s="74" t="str">
        <x:v>Requested allocation workflow</x:v>
      </x:c>
      <x:c r="H10" s="74" t="str">
        <x:v>Values: Single Full, Single Partial, Receive All, Lump Sum, First-day Auto, Loan Close. Initial: "Lump Sum". Editable_If: FALSE</x:v>
      </x:c>
    </x:row>
    <x:row r="11" ht="40" customHeight="1">
      <x:c r="A11" s="74" t="str">
        <x:v>Payments</x:v>
      </x:c>
      <x:c r="B11" s="74" t="n">
        <x:v>7</x:v>
      </x:c>
      <x:c r="C11" s="74" t="str">
        <x:v>Bank Reference</x:v>
      </x:c>
      <x:c r="D11" s="74" t="str">
        <x:v>Physical / Text</x:v>
      </x:c>
      <x:c r="E11" s="74" t="str">
        <x:v>OLTP test clone only</x:v>
      </x:c>
      <x:c r="F11" s="74" t="str">
        <x:v>Optional; locked while existing receipt is Processing</x:v>
      </x:c>
      <x:c r="G11" s="74" t="str">
        <x:v>Bank transaction reference</x:v>
      </x:c>
      <x:c r="H11" s="74" t="str">
        <x:v>Editable_If: OR(NOT(IN([Row ID], Payments[Row ID])), [Status] &lt;&gt; "Processing"). New form entry and Posted/Error metadata edits allowed.</x:v>
      </x:c>
    </x:row>
    <x:row r="12" ht="40" customHeight="1">
      <x:c r="A12" s="74" t="str">
        <x:v>Payments</x:v>
      </x:c>
      <x:c r="B12" s="74" t="n">
        <x:v>8</x:v>
      </x:c>
      <x:c r="C12" s="74" t="str">
        <x:v>Notes</x:v>
      </x:c>
      <x:c r="D12" s="74" t="str">
        <x:v>Physical / LongText</x:v>
      </x:c>
      <x:c r="E12" s="74" t="str">
        <x:v>OLTP test clone only</x:v>
      </x:c>
      <x:c r="F12" s="74" t="str">
        <x:v>Optional; locked while existing receipt is Processing</x:v>
      </x:c>
      <x:c r="G12" s="74" t="str">
        <x:v>Receipt notes</x:v>
      </x:c>
      <x:c r="H12" s="74" t="str">
        <x:v>Editable_If: OR(NOT(IN([Row ID], Payments[Row ID])), [Status] &lt;&gt; "Processing"). New form entry and Posted/Error metadata edits allowed.</x:v>
      </x:c>
    </x:row>
    <x:row r="13" ht="40" customHeight="1">
      <x:c r="A13" s="74" t="str">
        <x:v>Payments</x:v>
      </x:c>
      <x:c r="B13" s="74" t="n">
        <x:v>9</x:v>
      </x:c>
      <x:c r="C13" s="74" t="str">
        <x:v>Created By</x:v>
      </x:c>
      <x:c r="D13" s="74" t="str">
        <x:v>Physical / Email</x:v>
      </x:c>
      <x:c r="E13" s="74" t="str">
        <x:v>OLTP test clone only</x:v>
      </x:c>
      <x:c r="F13" s="74" t="str">
        <x:v>Editable_If FALSE</x:v>
      </x:c>
      <x:c r="G13" s="74" t="str">
        <x:v>Receipt creator</x:v>
      </x:c>
      <x:c r="H13" s="74" t="str">
        <x:v>Initial: USEREMAIL()</x:v>
      </x:c>
    </x:row>
    <x:row r="14" ht="40" customHeight="1">
      <x:c r="A14" s="74" t="str">
        <x:v>Payments</x:v>
      </x:c>
      <x:c r="B14" s="74" t="n">
        <x:v>10</x:v>
      </x:c>
      <x:c r="C14" s="74" t="str">
        <x:v>Payment Date</x:v>
      </x:c>
      <x:c r="D14" s="74" t="str">
        <x:v>Physical / Date</x:v>
      </x:c>
      <x:c r="E14" s="74" t="str">
        <x:v>OLTP test clone only</x:v>
      </x:c>
      <x:c r="F14" s="74" t="str">
        <x:v>Required; native/app label; locked after creation</x:v>
      </x:c>
      <x:c r="G14" s="74" t="str">
        <x:v>Receipt date</x:v>
      </x:c>
      <x:c r="H14" s="74" t="str">
        <x:v>Initial: TODAY(). Valid If: [_THIS] &lt;= TODAY(). Editable_If: NOT(IN([Row ID], Payments[Row ID]))</x:v>
      </x:c>
    </x:row>
    <x:row r="15" ht="40" customHeight="1">
      <x:c r="A15" s="74" t="str">
        <x:v>Payments</x:v>
      </x:c>
      <x:c r="B15" s="74" t="n">
        <x:v>11</x:v>
      </x:c>
      <x:c r="C15" s="74" t="str">
        <x:v>Created At</x:v>
      </x:c>
      <x:c r="D15" s="74" t="str">
        <x:v>Physical / DateTime</x:v>
      </x:c>
      <x:c r="E15" s="74" t="str">
        <x:v>OLTP test clone only</x:v>
      </x:c>
      <x:c r="F15" s="74" t="str">
        <x:v>Editable_If FALSE</x:v>
      </x:c>
      <x:c r="G15" s="74" t="str">
        <x:v>Receipt creation time</x:v>
      </x:c>
      <x:c r="H15" s="74" t="str">
        <x:v>Initial: NOW()</x:v>
      </x:c>
    </x:row>
    <x:row r="16" ht="40" customHeight="1">
      <x:c r="A16" s="74" t="str">
        <x:v>Payments</x:v>
      </x:c>
      <x:c r="B16" s="74" t="n">
        <x:v>12</x:v>
      </x:c>
      <x:c r="C16" s="74" t="str">
        <x:v>Processed At</x:v>
      </x:c>
      <x:c r="D16" s="74" t="str">
        <x:v>Physical / DateTime</x:v>
      </x:c>
      <x:c r="E16" s="74" t="str">
        <x:v>OLTP test clone only</x:v>
      </x:c>
      <x:c r="F16" s="74" t="str">
        <x:v>Editable_If FALSE</x:v>
      </x:c>
      <x:c r="G16" s="74" t="str">
        <x:v>Processing completion time</x:v>
      </x:c>
      <x:c r="H16" s="74" t="str">
        <x:v>Initial: blank; processing must set completion time</x:v>
      </x:c>
    </x:row>
    <x:row r="17" ht="110" customHeight="1">
      <x:c r="A17" s="74" t="str">
        <x:v>Payments</x:v>
      </x:c>
      <x:c r="B17" s="74" t="n">
        <x:v>13</x:v>
      </x:c>
      <x:c r="C17" s="74" t="str">
        <x:v>Ref Borrower</x:v>
      </x:c>
      <x:c r="D17" s="74" t="str">
        <x:v>Physical / Ref</x:v>
      </x:c>
      <x:c r="E17" s="74" t="str">
        <x:v>OLTP test clone only</x:v>
      </x:c>
      <x:c r="F17" s="74" t="str">
        <x:v>Native Reference; required; IsPartOf true; locked after creation</x:v>
      </x:c>
      <x:c r="G17" s="74" t="str">
        <x:v>Owning borrower</x:v>
      </x:c>
      <x:c r="H17" s="74" t="str">
        <x:v>Target: Borrowers. Editable_If: NOT(IN([Row ID], Payments[Row ID])). Valid If: OR(IN([Row ID], Payments[Row ID]), COUNT(SELECT(Payments[Row ID], AND([Ref Borrower] = [_THISROW].[Ref Borrower], [Row ID] &lt;&gt; [_THISROW].[Row ID], IN([Status], LIST("Processing", "Error"))))) = 0). Error unchanged. Existing receipt metadata edits retain the original borrower; this does not establish an atomic lock.</x:v>
      </x:c>
    </x:row>
    <x:row r="18" ht="110" customHeight="1">
      <x:c r="A18" s="74" t="str">
        <x:v>Payments</x:v>
      </x:c>
      <x:c r="B18" s="74" t="n">
        <x:v>14</x:v>
      </x:c>
      <x:c r="C18" s="74" t="str">
        <x:v>Ref Target Charge</x:v>
      </x:c>
      <x:c r="D18" s="74" t="str">
        <x:v>Physical / Ref</x:v>
      </x:c>
      <x:c r="E18" s="74" t="str">
        <x:v>OLTP test clone only</x:v>
      </x:c>
      <x:c r="F18" s="74" t="str">
        <x:v>Native Reference; IsPartOf false; locked after creation</x:v>
      </x:c>
      <x:c r="G18" s="74" t="str">
        <x:v>Optional target for single-charge and first-day methods</x:v>
      </x:c>
      <x:c r="H18" s="74" t="str">
        <x:v>Target: Charges. Valid If: SELECT(Charges[Row ID], AND([Ref Loans].[Ref Borrowers] = [_THISROW].[Ref Borrower], OR([Amount Remaining] &gt; 0, AND(IN([_THISROW].[Row ID], Payments[Row ID]), [Row ID] = [_THISROW].[Ref Target Charge])))). Show If and Required If: IN([Allocation Method], LIST("Single Full", "Single Partial", "First-day Auto", "Loan Close")). Editable_If: NOT(IN([Row ID], Payments[Row ID]))</x:v>
      </x:c>
    </x:row>
    <x:row r="19" ht="40" customHeight="1">
      <x:c r="A19" s="74" t="str">
        <x:v>Payments</x:v>
      </x:c>
      <x:c r="B19" s="74" t="n">
        <x:v>15</x:v>
      </x:c>
      <x:c r="C19" s="74" t="str">
        <x:v>Related Payment Allocations</x:v>
      </x:c>
      <x:c r="D19" s="74" t="str">
        <x:v>VC / List</x:v>
      </x:c>
      <x:c r="E19" s="74" t="str">
        <x:v>OLTP test clone only</x:v>
      </x:c>
      <x:c r="F19" s="74" t="str">
        <x:v>Auto-generated; hidden; Search false</x:v>
      </x:c>
      <x:c r="G19" s="74" t="str">
        <x:v>Allocation children</x:v>
      </x:c>
      <x:c r="H19" s="74" t="str">
        <x:v>REF_ROWS("Payment Allocations", "Ref Payment"). Complete ownership/snapshot list; positive display uses Visible Allocations.</x:v>
      </x:c>
    </x:row>
    <x:row r="20" ht="40" customHeight="1">
      <x:c r="A20" s="74" t="str">
        <x:v>Payments</x:v>
      </x:c>
      <x:c r="B20" s="74" t="n">
        <x:v>16</x:v>
      </x:c>
      <x:c r="C20" s="74" t="str">
        <x:v>Related Repayments</x:v>
      </x:c>
      <x:c r="D20" s="74" t="str">
        <x:v>VC / List</x:v>
      </x:c>
      <x:c r="E20" s="74" t="str">
        <x:v>OLTP test clone only</x:v>
      </x:c>
      <x:c r="F20" s="74" t="str">
        <x:v>Auto-generated; shown</x:v>
      </x:c>
      <x:c r="G20" s="74" t="str">
        <x:v>Receipt repayments</x:v>
      </x:c>
      <x:c r="H20" s="74" t="str">
        <x:v>REF_ROWS("Repayments", "Ref Payment")</x:v>
      </x:c>
    </x:row>
    <x:row r="21" ht="115" customHeight="1">
      <x:c r="A21" s="74" t="str">
        <x:v>Payments</x:v>
      </x:c>
      <x:c r="B21" s="74" t="n">
        <x:v>17</x:v>
      </x:c>
      <x:c r="C21" s="74" t="str">
        <x:v>Eligible Charges</x:v>
      </x:c>
      <x:c r="D21" s="74" t="str">
        <x:v>VC / List</x:v>
      </x:c>
      <x:c r="E21" s="74" t="str">
        <x:v>OLTP test clone only</x:v>
      </x:c>
      <x:c r="F21" s="74" t="str">
        <x:v>Hidden; element Ref to Charges</x:v>
      </x:c>
      <x:c r="G21" s="74" t="str">
        <x:v>Eligible charge population</x:v>
      </x:c>
      <x:c r="H21" s="74" t="str">
        <x:v>SELECT(Charges[Row ID], AND([Ref Loans].[Ref Borrowers] = [_THISROW].[Ref Borrower], [Amount Remaining] &gt; 0, IFS(IN([_THISROW].[Allocation Method], LIST("Single Full", "Single Partial", "First-day Auto")), [Row ID] = [_THISROW].[Ref Target Charge], [_THISROW].[Allocation Method] = "Loan Close", [Ref Loans] = [_THISROW].[Ref Target Charge].[Ref Loans], IN([_THISROW].[Allocation Method], LIST("Receive All", "Lump Sum")), [Charge Date] &lt;= [_THISROW].[Payment Date], TRUE, FALSE)))</x:v>
      </x:c>
    </x:row>
    <x:row r="22" ht="40" customHeight="1">
      <x:c r="A22" s="74" t="str">
        <x:v>Payments</x:v>
      </x:c>
      <x:c r="B22" s="74" t="n">
        <x:v>18</x:v>
      </x:c>
      <x:c r="C22" s="74" t="str">
        <x:v>Eligible Outstanding</x:v>
      </x:c>
      <x:c r="D22" s="74" t="str">
        <x:v>VC / Price</x:v>
      </x:c>
      <x:c r="E22" s="74" t="str">
        <x:v>OLTP test clone only</x:v>
      </x:c>
      <x:c r="F22" s="74" t="str">
        <x:v>Hidden; ฿; 0 decimals</x:v>
      </x:c>
      <x:c r="G22" s="74" t="str">
        <x:v>Eligible outstanding amount</x:v>
      </x:c>
      <x:c r="H22" s="74" t="str">
        <x:v>SUM([Eligible Charges][Amount Remaining])</x:v>
      </x:c>
    </x:row>
    <x:row r="23" ht="40" customHeight="1">
      <x:c r="A23" s="74" t="str">
        <x:v>Payments</x:v>
      </x:c>
      <x:c r="B23" s="74" t="n">
        <x:v>19</x:v>
      </x:c>
      <x:c r="C23" s="74" t="str">
        <x:v>Planned Allocation Amount</x:v>
      </x:c>
      <x:c r="D23" s="74" t="str">
        <x:v>VC / Price</x:v>
      </x:c>
      <x:c r="E23" s="74" t="str">
        <x:v>OLTP test clone only</x:v>
      </x:c>
      <x:c r="F23" s="74" t="str">
        <x:v>Shown; ฿; 0 decimals</x:v>
      </x:c>
      <x:c r="G23" s="74" t="str">
        <x:v>Sum of frozen allocation amounts</x:v>
      </x:c>
      <x:c r="H23" s="74" t="str">
        <x:v>SUM([Related Payment Allocations][Allocated Amount])</x:v>
      </x:c>
    </x:row>
    <x:row r="24" ht="40" customHeight="1">
      <x:c r="A24" s="74" t="str">
        <x:v>Payments</x:v>
      </x:c>
      <x:c r="B24" s="74" t="n">
        <x:v>20</x:v>
      </x:c>
      <x:c r="C24" s="74" t="str">
        <x:v>Posted Amount</x:v>
      </x:c>
      <x:c r="D24" s="74" t="str">
        <x:v>VC / Price</x:v>
      </x:c>
      <x:c r="E24" s="74" t="str">
        <x:v>OLTP test clone only</x:v>
      </x:c>
      <x:c r="F24" s="74" t="str">
        <x:v>Shown; ฿; 0 decimals</x:v>
      </x:c>
      <x:c r="G24" s="74" t="str">
        <x:v>Actual repayments linked to receipt</x:v>
      </x:c>
      <x:c r="H24" s="74" t="str">
        <x:v>SUM(SELECT(Repayments[Amount Received], [Ref Payment] = [_THISROW].[Row ID]))</x:v>
      </x:c>
    </x:row>
    <x:row r="25" ht="40" customHeight="1">
      <x:c r="A25" s="74" t="str">
        <x:v>Payments</x:v>
      </x:c>
      <x:c r="B25" s="74" t="n">
        <x:v>21</x:v>
      </x:c>
      <x:c r="C25" s="74" t="str">
        <x:v>Allocation Difference</x:v>
      </x:c>
      <x:c r="D25" s="74" t="str">
        <x:v>VC / Price</x:v>
      </x:c>
      <x:c r="E25" s="74" t="str">
        <x:v>OLTP test clone only</x:v>
      </x:c>
      <x:c r="F25" s="74" t="str">
        <x:v>Shown; ฿; 0 decimals</x:v>
      </x:c>
      <x:c r="G25" s="74" t="str">
        <x:v>Receipt less planned amount</x:v>
      </x:c>
      <x:c r="H25" s="74" t="str">
        <x:v>[Amount Received] - [Planned Allocation Amount]</x:v>
      </x:c>
    </x:row>
    <x:row r="26" ht="40" customHeight="1">
      <x:c r="A26" s="74" t="str">
        <x:v>Payments</x:v>
      </x:c>
      <x:c r="B26" s="74" t="n">
        <x:v>22</x:v>
      </x:c>
      <x:c r="C26" s="74" t="str">
        <x:v>Posting Difference</x:v>
      </x:c>
      <x:c r="D26" s="74" t="str">
        <x:v>VC / Price</x:v>
      </x:c>
      <x:c r="E26" s="74" t="str">
        <x:v>OLTP test clone only</x:v>
      </x:c>
      <x:c r="F26" s="74" t="str">
        <x:v>Shown; ฿; 0 decimals</x:v>
      </x:c>
      <x:c r="G26" s="74" t="str">
        <x:v>Receipt less posted amount</x:v>
      </x:c>
      <x:c r="H26" s="74" t="str">
        <x:v>[Amount Received] - [Posted Amount]</x:v>
      </x:c>
    </x:row>
    <x:row r="27" ht="40" customHeight="1">
      <x:c r="A27" s="74" t="str">
        <x:v>Payments</x:v>
      </x:c>
      <x:c r="B27" s="74" t="n">
        <x:v>23</x:v>
      </x:c>
      <x:c r="C27" s="74" t="str">
        <x:v>Visible Allocations</x:v>
      </x:c>
      <x:c r="D27" s="74" t="str">
        <x:v>VC / List</x:v>
      </x:c>
      <x:c r="E27" s="74" t="str">
        <x:v>OLTP test clone only</x:v>
      </x:c>
      <x:c r="F27" s="74" t="str">
        <x:v>Shown; element Ref to Payment Allocations</x:v>
      </x:c>
      <x:c r="G27" s="74" t="str">
        <x:v>Positive allocation display</x:v>
      </x:c>
      <x:c r="H27" s="74" t="str">
        <x:v>SELECT(Payment Allocations[Row ID], AND([Ref Payment] = [_THISROW].[Row ID], [Allocated Amount] &gt; 0)). Display name: "รายการจัดสรร / Allocations"</x:v>
      </x:c>
    </x:row>
    <x:row r="28" ht="40" customHeight="1">
      <x:c r="A28" s="74" t="str">
        <x:v>Payment Allocations</x:v>
      </x:c>
      <x:c r="B28" s="74" t="n">
        <x:v>1</x:v>
      </x:c>
      <x:c r="C28" s="74" t="str">
        <x:v>_RowNumber</x:v>
      </x:c>
      <x:c r="D28" s="74" t="str">
        <x:v>Physical / Number</x:v>
      </x:c>
      <x:c r="E28" s="74" t="str">
        <x:v>OLTP test clone only</x:v>
      </x:c>
      <x:c r="F28" s="74" t="str">
        <x:v>Hidden; not key</x:v>
      </x:c>
      <x:c r="G28" s="74" t="str">
        <x:v>Source row ordinal</x:v>
      </x:c>
      <x:c r="H28" s="74" t="str">
        <x:v>System source ordinal</x:v>
      </x:c>
    </x:row>
    <x:row r="29" ht="40" customHeight="1">
      <x:c r="A29" s="74" t="str">
        <x:v>Payment Allocations</x:v>
      </x:c>
      <x:c r="B29" s="74" t="n">
        <x:v>2</x:v>
      </x:c>
      <x:c r="C29" s="74" t="str">
        <x:v>Row ID</x:v>
      </x:c>
      <x:c r="D29" s="74" t="str">
        <x:v>Physical / Text</x:v>
      </x:c>
      <x:c r="E29" s="74" t="str">
        <x:v>OLTP test clone only</x:v>
      </x:c>
      <x:c r="F29" s="74" t="str">
        <x:v>Key; required; hidden; not editable</x:v>
      </x:c>
      <x:c r="G29" s="74" t="str">
        <x:v>Stable native database key</x:v>
      </x:c>
      <x:c r="H29" s="74" t="str">
        <x:v>Initial: UNIQUEID("PackedUUID")</x:v>
      </x:c>
    </x:row>
    <x:row r="30" ht="40" customHeight="1">
      <x:c r="A30" s="74" t="str">
        <x:v>Payment Allocations</x:v>
      </x:c>
      <x:c r="B30" s="74" t="n">
        <x:v>3</x:v>
      </x:c>
      <x:c r="C30" s="74" t="str">
        <x:v>Charge Date Snapshot</x:v>
      </x:c>
      <x:c r="D30" s="74" t="str">
        <x:v>Physical / Date</x:v>
      </x:c>
      <x:c r="E30" s="74" t="str">
        <x:v>OLTP test clone only</x:v>
      </x:c>
      <x:c r="F30" s="74" t="str">
        <x:v>Required; Editable_If FALSE</x:v>
      </x:c>
      <x:c r="G30" s="74" t="str">
        <x:v>Frozen charge date</x:v>
      </x:c>
      <x:c r="H30" s="74" t="str">
        <x:v>Initial: blank. Snapshot action must supply actual charge date.</x:v>
      </x:c>
    </x:row>
    <x:row r="31" ht="40" customHeight="1">
      <x:c r="A31" s="74" t="str">
        <x:v>Payment Allocations</x:v>
      </x:c>
      <x:c r="B31" s="74" t="n">
        <x:v>4</x:v>
      </x:c>
      <x:c r="C31" s="74" t="str">
        <x:v>Charge Row Number Snapshot</x:v>
      </x:c>
      <x:c r="D31" s="74" t="str">
        <x:v>Physical / Number</x:v>
      </x:c>
      <x:c r="E31" s="74" t="str">
        <x:v>OLTP test clone only</x:v>
      </x:c>
      <x:c r="F31" s="74" t="str">
        <x:v>Required; Editable_If FALSE</x:v>
      </x:c>
      <x:c r="G31" s="74" t="str">
        <x:v>Frozen tie-break ordinal</x:v>
      </x:c>
      <x:c r="H31" s="74" t="str">
        <x:v>Initial: 0. Snapshot/freeze actions configured; functional tests pending.</x:v>
      </x:c>
    </x:row>
    <x:row r="32" ht="40" customHeight="1">
      <x:c r="A32" s="74" t="str">
        <x:v>Payment Allocations</x:v>
      </x:c>
      <x:c r="B32" s="74" t="n">
        <x:v>5</x:v>
      </x:c>
      <x:c r="C32" s="74" t="str">
        <x:v>Interest Remaining Snapshot</x:v>
      </x:c>
      <x:c r="D32" s="74" t="str">
        <x:v>Physical / Price</x:v>
      </x:c>
      <x:c r="E32" s="74" t="str">
        <x:v>OLTP test clone only</x:v>
      </x:c>
      <x:c r="F32" s="74" t="str">
        <x:v>Required; Editable_If FALSE; ฿; 0 decimals</x:v>
      </x:c>
      <x:c r="G32" s="74" t="str">
        <x:v>Interest before posting</x:v>
      </x:c>
      <x:c r="H32" s="74" t="str">
        <x:v>Initial: 0. Snapshot/freeze actions configured; functional tests pending.</x:v>
      </x:c>
    </x:row>
    <x:row r="33" ht="40" customHeight="1">
      <x:c r="A33" s="74" t="str">
        <x:v>Payment Allocations</x:v>
      </x:c>
      <x:c r="B33" s="74" t="n">
        <x:v>6</x:v>
      </x:c>
      <x:c r="C33" s="74" t="str">
        <x:v>Principal Remaining Snapshot</x:v>
      </x:c>
      <x:c r="D33" s="74" t="str">
        <x:v>Physical / Price</x:v>
      </x:c>
      <x:c r="E33" s="74" t="str">
        <x:v>OLTP test clone only</x:v>
      </x:c>
      <x:c r="F33" s="74" t="str">
        <x:v>Required; Editable_If FALSE; ฿; 0 decimals</x:v>
      </x:c>
      <x:c r="G33" s="74" t="str">
        <x:v>Principal before posting</x:v>
      </x:c>
      <x:c r="H33" s="74" t="str">
        <x:v>Initial: 0. Snapshot/freeze actions configured; functional tests pending.</x:v>
      </x:c>
    </x:row>
    <x:row r="34" ht="40" customHeight="1">
      <x:c r="A34" s="74" t="str">
        <x:v>Payment Allocations</x:v>
      </x:c>
      <x:c r="B34" s="74" t="n">
        <x:v>7</x:v>
      </x:c>
      <x:c r="C34" s="74" t="str">
        <x:v>Amount Remaining Snapshot</x:v>
      </x:c>
      <x:c r="D34" s="74" t="str">
        <x:v>Physical / Price</x:v>
      </x:c>
      <x:c r="E34" s="74" t="str">
        <x:v>OLTP test clone only</x:v>
      </x:c>
      <x:c r="F34" s="74" t="str">
        <x:v>Required; Editable_If FALSE; ฿; 0 decimals</x:v>
      </x:c>
      <x:c r="G34" s="74" t="str">
        <x:v>Total outstanding before posting</x:v>
      </x:c>
      <x:c r="H34" s="74" t="str">
        <x:v>Initial: 0. Snapshot/freeze actions configured; functional tests pending.</x:v>
      </x:c>
    </x:row>
    <x:row r="35" ht="40" customHeight="1">
      <x:c r="A35" s="74" t="str">
        <x:v>Payment Allocations</x:v>
      </x:c>
      <x:c r="B35" s="74" t="n">
        <x:v>8</x:v>
      </x:c>
      <x:c r="C35" s="74" t="str">
        <x:v>Allocation Order</x:v>
      </x:c>
      <x:c r="D35" s="74" t="str">
        <x:v>Physical / Number</x:v>
      </x:c>
      <x:c r="E35" s="74" t="str">
        <x:v>OLTP test clone only</x:v>
      </x:c>
      <x:c r="F35" s="74" t="str">
        <x:v>Required; Editable_If FALSE</x:v>
      </x:c>
      <x:c r="G35" s="74" t="str">
        <x:v>Frozen allocation priority</x:v>
      </x:c>
      <x:c r="H35" s="74" t="str">
        <x:v>Initial: 0. Snapshot/freeze actions configured; functional tests pending.</x:v>
      </x:c>
    </x:row>
    <x:row r="36" ht="40" customHeight="1">
      <x:c r="A36" s="74" t="str">
        <x:v>Payment Allocations</x:v>
      </x:c>
      <x:c r="B36" s="74" t="n">
        <x:v>9</x:v>
      </x:c>
      <x:c r="C36" s="74" t="str">
        <x:v>Allocated Interest</x:v>
      </x:c>
      <x:c r="D36" s="74" t="str">
        <x:v>Physical / Price</x:v>
      </x:c>
      <x:c r="E36" s="74" t="str">
        <x:v>OLTP test clone only</x:v>
      </x:c>
      <x:c r="F36" s="74" t="str">
        <x:v>Required; Editable_If FALSE; ฿; 0 decimals</x:v>
      </x:c>
      <x:c r="G36" s="74" t="str">
        <x:v>Frozen interest allocation</x:v>
      </x:c>
      <x:c r="H36" s="74" t="str">
        <x:v>Initial: 0. Set by Payment - Freeze Allocation. Functional tests pending.</x:v>
      </x:c>
    </x:row>
    <x:row r="37" ht="40" customHeight="1">
      <x:c r="A37" s="74" t="str">
        <x:v>Payment Allocations</x:v>
      </x:c>
      <x:c r="B37" s="74" t="n">
        <x:v>10</x:v>
      </x:c>
      <x:c r="C37" s="74" t="str">
        <x:v>Allocated Principal</x:v>
      </x:c>
      <x:c r="D37" s="74" t="str">
        <x:v>Physical / Price</x:v>
      </x:c>
      <x:c r="E37" s="74" t="str">
        <x:v>OLTP test clone only</x:v>
      </x:c>
      <x:c r="F37" s="74" t="str">
        <x:v>Required; Editable_If FALSE; ฿; 0 decimals</x:v>
      </x:c>
      <x:c r="G37" s="74" t="str">
        <x:v>Frozen principal allocation</x:v>
      </x:c>
      <x:c r="H37" s="74" t="str">
        <x:v>Initial: 0. Set by Payment - Freeze Allocation. Functional tests pending.</x:v>
      </x:c>
    </x:row>
    <x:row r="38" ht="40" customHeight="1">
      <x:c r="A38" s="74" t="str">
        <x:v>Payment Allocations</x:v>
      </x:c>
      <x:c r="B38" s="74" t="n">
        <x:v>11</x:v>
      </x:c>
      <x:c r="C38" s="74" t="str">
        <x:v>Allocated Amount</x:v>
      </x:c>
      <x:c r="D38" s="74" t="str">
        <x:v>Physical / Price</x:v>
      </x:c>
      <x:c r="E38" s="74" t="str">
        <x:v>OLTP test clone only</x:v>
      </x:c>
      <x:c r="F38" s="74" t="str">
        <x:v>Required; Editable_If FALSE; ฿; 0 decimals</x:v>
      </x:c>
      <x:c r="G38" s="74" t="str">
        <x:v>Frozen total allocation</x:v>
      </x:c>
      <x:c r="H38" s="74" t="str">
        <x:v>Initial: 0. Set by Payment - Freeze Allocation. Functional tests pending.</x:v>
      </x:c>
    </x:row>
    <x:row r="39" ht="40" customHeight="1">
      <x:c r="A39" s="74" t="str">
        <x:v>Payment Allocations</x:v>
      </x:c>
      <x:c r="B39" s="74" t="n">
        <x:v>12</x:v>
      </x:c>
      <x:c r="C39" s="74" t="str">
        <x:v>Created At</x:v>
      </x:c>
      <x:c r="D39" s="74" t="str">
        <x:v>Physical / DateTime</x:v>
      </x:c>
      <x:c r="E39" s="74" t="str">
        <x:v>OLTP test clone only</x:v>
      </x:c>
      <x:c r="F39" s="74" t="str">
        <x:v>Editable_If FALSE</x:v>
      </x:c>
      <x:c r="G39" s="74" t="str">
        <x:v>Allocation creation time</x:v>
      </x:c>
      <x:c r="H39" s="74" t="str">
        <x:v>Initial: NOW()</x:v>
      </x:c>
    </x:row>
    <x:row r="40" ht="40" customHeight="1">
      <x:c r="A40" s="74" t="str">
        <x:v>Payment Allocations</x:v>
      </x:c>
      <x:c r="B40" s="74" t="n">
        <x:v>13</x:v>
      </x:c>
      <x:c r="C40" s="74" t="str">
        <x:v>Ref Payment</x:v>
      </x:c>
      <x:c r="D40" s="74" t="str">
        <x:v>Physical / Ref</x:v>
      </x:c>
      <x:c r="E40" s="74" t="str">
        <x:v>OLTP test clone only</x:v>
      </x:c>
      <x:c r="F40" s="74" t="str">
        <x:v>Native Reference; required; Editable_If FALSE; IsPartOf true</x:v>
      </x:c>
      <x:c r="G40" s="74" t="str">
        <x:v>Owning receipt</x:v>
      </x:c>
      <x:c r="H40" s="74" t="str">
        <x:v>Target: Payments in cloned database. Base Editable enabled for processing actions.</x:v>
      </x:c>
    </x:row>
    <x:row r="41" ht="40" customHeight="1">
      <x:c r="A41" s="74" t="str">
        <x:v>Payment Allocations</x:v>
      </x:c>
      <x:c r="B41" s="74" t="n">
        <x:v>14</x:v>
      </x:c>
      <x:c r="C41" s="74" t="str">
        <x:v>Ref Charge</x:v>
      </x:c>
      <x:c r="D41" s="74" t="str">
        <x:v>Physical / Ref</x:v>
      </x:c>
      <x:c r="E41" s="74" t="str">
        <x:v>OLTP test clone only</x:v>
      </x:c>
      <x:c r="F41" s="74" t="str">
        <x:v>Native Reference; required; Editable_If FALSE; IsPartOf false</x:v>
      </x:c>
      <x:c r="G41" s="74" t="str">
        <x:v>Allocated charge</x:v>
      </x:c>
      <x:c r="H41" s="74" t="str">
        <x:v>Target: Charges in cloned database. Base Editable enabled for processing actions.</x:v>
      </x:c>
    </x:row>
    <x:row r="42" ht="40" customHeight="1">
      <x:c r="A42" s="74" t="str">
        <x:v>Payment Allocations</x:v>
      </x:c>
      <x:c r="B42" s="74" t="n">
        <x:v>15</x:v>
      </x:c>
      <x:c r="C42" s="74" t="str">
        <x:v>Related Repayments</x:v>
      </x:c>
      <x:c r="D42" s="74" t="str">
        <x:v>VC / List</x:v>
      </x:c>
      <x:c r="E42" s="74" t="str">
        <x:v>OLTP test clone only</x:v>
      </x:c>
      <x:c r="F42" s="74" t="str">
        <x:v>Auto-generated; shown</x:v>
      </x:c>
      <x:c r="G42" s="74" t="str">
        <x:v>Repayments generated from allocation</x:v>
      </x:c>
      <x:c r="H42" s="74" t="str">
        <x:v>REF_ROWS("Repayments", "Ref Payment Allocation")</x:v>
      </x:c>
    </x:row>
    <x:row r="43" ht="115" customHeight="1">
      <x:c r="A43" s="74" t="str">
        <x:v>Payment Allocations</x:v>
      </x:c>
      <x:c r="B43" s="74" t="n">
        <x:v>16</x:v>
      </x:c>
      <x:c r="C43" s="74" t="str">
        <x:v>Calculated Order</x:v>
      </x:c>
      <x:c r="D43" s="74" t="str">
        <x:v>VC / Number</x:v>
      </x:c>
      <x:c r="E43" s="74" t="str">
        <x:v>OLTP test clone only</x:v>
      </x:c>
      <x:c r="F43" s="74" t="str">
        <x:v>Hidden</x:v>
      </x:c>
      <x:c r="G43" s="74" t="str">
        <x:v>Pre-freeze allocation calculation</x:v>
      </x:c>
      <x:c r="H43" s="74" t="str">
        <x:v>1 + COUNT(SELECT(Payment Allocations[Row ID], AND([Ref Payment] = [_THISROW].[Ref Payment], OR([Charge Date Snapshot] &gt; [_THISROW].[Charge Date Snapshot], AND([Charge Date Snapshot] = [_THISROW].[Charge Date Snapshot], [Charge Row Number Snapshot] &gt; [_THISROW].[Charge Row Number Snapshot])))))</x:v>
      </x:c>
    </x:row>
    <x:row r="44" ht="115" customHeight="1">
      <x:c r="A44" s="74" t="str">
        <x:v>Payment Allocations</x:v>
      </x:c>
      <x:c r="B44" s="74" t="n">
        <x:v>17</x:v>
      </x:c>
      <x:c r="C44" s="74" t="str">
        <x:v>Calculated Amount</x:v>
      </x:c>
      <x:c r="D44" s="74" t="str">
        <x:v>VC / Price</x:v>
      </x:c>
      <x:c r="E44" s="74" t="str">
        <x:v>OLTP test clone only</x:v>
      </x:c>
      <x:c r="F44" s="74" t="str">
        <x:v>Hidden; ฿; 0 decimals</x:v>
      </x:c>
      <x:c r="G44" s="74" t="str">
        <x:v>Pre-freeze allocation calculation</x:v>
      </x:c>
      <x:c r="H44" s="74" t="str">
        <x:v>MAX(LIST(DECIMAL(0), MIN(LIST(DECIMAL([Amount Remaining Snapshot]), DECIMAL([Ref Payment].[Amount Received]) - DECIMAL(SUM(SELECT(Payment Allocations[Amount Remaining Snapshot], AND([Ref Payment] = [_THISROW].[Ref Payment], [Calculated Order] &lt; [_THISROW].[Calculated Order]))))))))</x:v>
      </x:c>
    </x:row>
    <x:row r="45" ht="115" customHeight="1">
      <x:c r="A45" s="74" t="str">
        <x:v>Payment Allocations</x:v>
      </x:c>
      <x:c r="B45" s="74" t="n">
        <x:v>18</x:v>
      </x:c>
      <x:c r="C45" s="74" t="str">
        <x:v>Calculated Interest</x:v>
      </x:c>
      <x:c r="D45" s="74" t="str">
        <x:v>VC / Price</x:v>
      </x:c>
      <x:c r="E45" s="74" t="str">
        <x:v>OLTP test clone only</x:v>
      </x:c>
      <x:c r="F45" s="74" t="str">
        <x:v>Hidden; ฿; 0 decimals</x:v>
      </x:c>
      <x:c r="G45" s="74" t="str">
        <x:v>Pre-freeze allocation calculation</x:v>
      </x:c>
      <x:c r="H45" s="74" t="str">
        <x:v>MIN(LIST(MAX(LIST(DECIMAL(0), DECIMAL([Interest Remaining Snapshot]))), DECIMAL([Calculated Amount])))</x:v>
      </x:c>
    </x:row>
    <x:row r="46" ht="115" customHeight="1">
      <x:c r="A46" s="74" t="str">
        <x:v>Payment Allocations</x:v>
      </x:c>
      <x:c r="B46" s="74" t="n">
        <x:v>19</x:v>
      </x:c>
      <x:c r="C46" s="74" t="str">
        <x:v>Calculated Principal</x:v>
      </x:c>
      <x:c r="D46" s="74" t="str">
        <x:v>VC / Price</x:v>
      </x:c>
      <x:c r="E46" s="74" t="str">
        <x:v>OLTP test clone only</x:v>
      </x:c>
      <x:c r="F46" s="74" t="str">
        <x:v>Hidden; ฿; 0 decimals</x:v>
      </x:c>
      <x:c r="G46" s="74" t="str">
        <x:v>Pre-freeze allocation calculation</x:v>
      </x:c>
      <x:c r="H46" s="74" t="str">
        <x:v>MIN(LIST(MAX(LIST(DECIMAL(0), DECIMAL([Principal Remaining Snapshot]))), DECIMAL([Calculated Amount]) - DECIMAL([Calculated Interest])))</x:v>
      </x:c>
    </x:row>
    <x:row r="47" ht="40" customHeight="1">
      <x:c r="A47" s="74" t="str">
        <x:v>Repayments</x:v>
      </x:c>
      <x:c r="B47" s="74" t="n">
        <x:v>10</x:v>
      </x:c>
      <x:c r="C47" s="74" t="str">
        <x:v>Ref Payment</x:v>
      </x:c>
      <x:c r="D47" s="74" t="str">
        <x:v>Physical / Ref</x:v>
      </x:c>
      <x:c r="E47" s="74" t="str">
        <x:v>OLTP test clone only</x:v>
      </x:c>
      <x:c r="F47" s="74" t="str">
        <x:v>Native Reference; optional; Editable_If FALSE; IsPartOf false</x:v>
      </x:c>
      <x:c r="G47" s="74" t="str">
        <x:v>Receipt trace; historical/default rows may be blank</x:v>
      </x:c>
      <x:c r="H47" s="74" t="str">
        <x:v>Target: Payments in cloned database. Added by schema regeneration; existing key retained. Base Editable enabled; expression FALSE permits action writes while preventing form edits.</x:v>
      </x:c>
    </x:row>
    <x:row r="48" ht="40" customHeight="1">
      <x:c r="A48" s="74" t="str">
        <x:v>Repayments</x:v>
      </x:c>
      <x:c r="B48" s="74" t="n">
        <x:v>11</x:v>
      </x:c>
      <x:c r="C48" s="74" t="str">
        <x:v>Ref Payment Allocation</x:v>
      </x:c>
      <x:c r="D48" s="74" t="str">
        <x:v>Physical / Ref</x:v>
      </x:c>
      <x:c r="E48" s="74" t="str">
        <x:v>OLTP test clone only</x:v>
      </x:c>
      <x:c r="F48" s="74" t="str">
        <x:v>Native Reference; optional; Editable_If FALSE; IsPartOf false</x:v>
      </x:c>
      <x:c r="G48" s="74" t="str">
        <x:v>Allocation trace; historical/default rows may be blank</x:v>
      </x:c>
      <x:c r="H48" s="74" t="str">
        <x:v>Target: Payment Allocations in cloned database. Added by schema regeneration; existing key retained. Base Editable enabled; expression FALSE permits action writes while preventing form edits.</x:v>
      </x:c>
    </x:row>
    <x:row r="49" ht="40" customHeight="1">
      <x:c r="A49" s="74" t="str">
        <x:v>Repayments</x:v>
      </x:c>
      <x:c r="B49" s="74" t="n">
        <x:v>9</x:v>
      </x:c>
      <x:c r="C49" s="74" t="str">
        <x:v>Created By</x:v>
      </x:c>
      <x:c r="D49" s="74" t="str">
        <x:v>Physical / Email</x:v>
      </x:c>
      <x:c r="E49" s="74" t="str">
        <x:v>OLTP test clone only</x:v>
      </x:c>
      <x:c r="F49" s="74" t="str">
        <x:v>Hidden; base Editable enabled; Editable_If FALSE; PII true</x:v>
      </x:c>
      <x:c r="G49" s="74" t="str">
        <x:v>Preserve original receipt creator</x:v>
      </x:c>
      <x:c r="H49" s="74" t="str">
        <x:v>Initial USEREMAIL() retained. Payment - Post Allocation explicitly assigns [Ref Payment].[Created By]. Position 9 confirmed.</x:v>
      </x:c>
    </x:row>
    <x:row r="50" ht="40" customHeight="1">
      <x:c r="A50" s="74" t="str">
        <x:v>Repayments</x:v>
      </x:c>
      <x:c r="B50" s="74" t="n">
        <x:v>3</x:v>
      </x:c>
      <x:c r="C50" s="74" t="str">
        <x:v>Payment Date</x:v>
      </x:c>
      <x:c r="D50" s="74" t="str">
        <x:v>Physical / Date</x:v>
      </x:c>
      <x:c r="E50" s="74" t="str">
        <x:v>OLTP test clone only</x:v>
      </x:c>
      <x:c r="F50" s="74" t="str">
        <x:v>Existing; Editable_If ISBLANK([Ref Payment])</x:v>
      </x:c>
      <x:c r="G50" s="74" t="str">
        <x:v>Protect receipt-generated repayment values</x:v>
      </x:c>
      <x:c r="H50" s="74" t="str">
        <x:v>Editable_If: ISBLANK([Ref Payment]). Existing formulas, defaults and validation retained; historical/default rows with blank Ref Payment remain editable.</x:v>
      </x:c>
    </x:row>
    <x:row r="51" ht="40" customHeight="1">
      <x:c r="A51" s="74" t="str">
        <x:v>Repayments</x:v>
      </x:c>
      <x:c r="B51" s="74" t="n">
        <x:v>4</x:v>
      </x:c>
      <x:c r="C51" s="74" t="str">
        <x:v>Principal Paid</x:v>
      </x:c>
      <x:c r="D51" s="74" t="str">
        <x:v>Physical / Price</x:v>
      </x:c>
      <x:c r="E51" s="74" t="str">
        <x:v>OLTP test clone only</x:v>
      </x:c>
      <x:c r="F51" s="74" t="str">
        <x:v>Existing; Editable_If ISBLANK([Ref Payment])</x:v>
      </x:c>
      <x:c r="G51" s="74" t="str">
        <x:v>Protect receipt-generated repayment values</x:v>
      </x:c>
      <x:c r="H51" s="74" t="str">
        <x:v>Editable_If: ISBLANK([Ref Payment]). Existing formulas, defaults and validation retained; historical/default rows with blank Ref Payment remain editable.</x:v>
      </x:c>
    </x:row>
    <x:row r="52" ht="40" customHeight="1">
      <x:c r="A52" s="74" t="str">
        <x:v>Repayments</x:v>
      </x:c>
      <x:c r="B52" s="74" t="n">
        <x:v>5</x:v>
      </x:c>
      <x:c r="C52" s="74" t="str">
        <x:v>Interest Paid</x:v>
      </x:c>
      <x:c r="D52" s="74" t="str">
        <x:v>Physical / Price</x:v>
      </x:c>
      <x:c r="E52" s="74" t="str">
        <x:v>OLTP test clone only</x:v>
      </x:c>
      <x:c r="F52" s="74" t="str">
        <x:v>Existing; Editable_If ISBLANK([Ref Payment])</x:v>
      </x:c>
      <x:c r="G52" s="74" t="str">
        <x:v>Protect receipt-generated repayment values</x:v>
      </x:c>
      <x:c r="H52" s="74" t="str">
        <x:v>Editable_If: ISBLANK([Ref Payment]). Existing formulas, defaults and validation retained; historical/default rows with blank Ref Payment remain editable.</x:v>
      </x:c>
    </x:row>
    <x:row r="53" ht="40" customHeight="1">
      <x:c r="A53" s="74" t="str">
        <x:v>Repayments</x:v>
      </x:c>
      <x:c r="B53" s="74" t="n">
        <x:v>6</x:v>
      </x:c>
      <x:c r="C53" s="74" t="str">
        <x:v>Notes</x:v>
      </x:c>
      <x:c r="D53" s="74" t="str">
        <x:v>Physical / LongText</x:v>
      </x:c>
      <x:c r="E53" s="74" t="str">
        <x:v>OLTP test clone only</x:v>
      </x:c>
      <x:c r="F53" s="74" t="str">
        <x:v>Existing; Editable_If ISBLANK([Ref Payment])</x:v>
      </x:c>
      <x:c r="G53" s="74" t="str">
        <x:v>Protect receipt-generated repayment values</x:v>
      </x:c>
      <x:c r="H53" s="74" t="str">
        <x:v>Editable_If: ISBLANK([Ref Payment]). Existing formulas, defaults and validation retained; historical/default rows with blank Ref Payment remain editable.</x:v>
      </x:c>
    </x:row>
    <x:row r="54" ht="40" customHeight="1">
      <x:c r="A54" s="74" t="str">
        <x:v>Repayments</x:v>
      </x:c>
      <x:c r="B54" s="74" t="n">
        <x:v>8</x:v>
      </x:c>
      <x:c r="C54" s="74" t="str">
        <x:v>Ref Charges</x:v>
      </x:c>
      <x:c r="D54" s="74" t="str">
        <x:v>Physical / Ref</x:v>
      </x:c>
      <x:c r="E54" s="74" t="str">
        <x:v>OLTP test clone only</x:v>
      </x:c>
      <x:c r="F54" s="74" t="str">
        <x:v>Existing; Editable_If ISBLANK([Ref Payment]); required; IsPartOf true</x:v>
      </x:c>
      <x:c r="G54" s="74" t="str">
        <x:v>Protect receipt-generated repayment values</x:v>
      </x:c>
      <x:c r="H54" s="74" t="str">
        <x:v>Editable_If: ISBLANK([Ref Payment]). Existing formulas, defaults and validation retained; historical/default rows with blank Ref Payment remain editable. Ref Charges target: Charges.</x:v>
      </x:c>
    </x:row>
    <x:row r="55" ht="40" customHeight="1">
      <x:c r="A55" s="74" t="str">
        <x:v>Borrowers</x:v>
      </x:c>
      <x:c r="B55" s="74" t="n">
        <x:v>33</x:v>
      </x:c>
      <x:c r="C55" s="74" t="str">
        <x:v>Related Payments</x:v>
      </x:c>
      <x:c r="D55" s="74" t="str">
        <x:v>VC / List</x:v>
      </x:c>
      <x:c r="E55" s="74" t="str">
        <x:v>OLTP test clone only</x:v>
      </x:c>
      <x:c r="F55" s="74" t="str">
        <x:v>Shown; searchable; not editable</x:v>
      </x:c>
      <x:c r="G55" s="74" t="str">
        <x:v>Reverse reference to new payment branch</x:v>
      </x:c>
      <x:c r="H55" s="74" t="str">
        <x:v>REF_ROWS("Payments", "Ref Borrower")</x:v>
      </x:c>
    </x:row>
    <x:row r="56" ht="40" customHeight="1">
      <x:c r="A56" s="74" t="str">
        <x:v>Charges</x:v>
      </x:c>
      <x:c r="B56" s="74" t="n">
        <x:v>24</x:v>
      </x:c>
      <x:c r="C56" s="74" t="str">
        <x:v>Related Payment Allocations</x:v>
      </x:c>
      <x:c r="D56" s="74" t="str">
        <x:v>VC / List</x:v>
      </x:c>
      <x:c r="E56" s="74" t="str">
        <x:v>OLTP test clone only</x:v>
      </x:c>
      <x:c r="F56" s="74" t="str">
        <x:v>Shown; searchable; not editable</x:v>
      </x:c>
      <x:c r="G56" s="74" t="str">
        <x:v>Reverse reference to new payment branch</x:v>
      </x:c>
      <x:c r="H56" s="74" t="str">
        <x:v>REF_ROWS("Payment Allocations", "Ref Charge")</x:v>
      </x:c>
    </x:row>
    <x:row r="57" ht="40" customHeight="1">
      <x:c r="A57" s="74" t="str">
        <x:v>Charges</x:v>
      </x:c>
      <x:c r="B57" s="74" t="n">
        <x:v>25</x:v>
      </x:c>
      <x:c r="C57" s="74" t="str">
        <x:v>Related Payments</x:v>
      </x:c>
      <x:c r="D57" s="74" t="str">
        <x:v>VC / List</x:v>
      </x:c>
      <x:c r="E57" s="74" t="str">
        <x:v>OLTP test clone only</x:v>
      </x:c>
      <x:c r="F57" s="74" t="str">
        <x:v>Shown; searchable; not editable</x:v>
      </x:c>
      <x:c r="G57" s="74" t="str">
        <x:v>Reverse reference to new payment branch</x:v>
      </x:c>
      <x:c r="H57" s="74" t="str">
        <x:v>REF_ROWS("Payments", "Ref Target Charge")</x:v>
      </x:c>
    </x:row>
    <x:row r="58" ht="110" customHeight="1">
      <x:c r="A58" s="74" t="str">
        <x:v>Charges</x:v>
      </x:c>
      <x:c r="B58" s="74" t="n">
        <x:v>5</x:v>
      </x:c>
      <x:c r="C58" s="74" t="str">
        <x:v>Interest Due</x:v>
      </x:c>
      <x:c r="D58" s="74" t="str">
        <x:v>Physical / Price</x:v>
      </x:c>
      <x:c r="E58" s="74" t="str">
        <x:v>OLTP test clone only</x:v>
      </x:c>
      <x:c r="F58" s="74" t="str">
        <x:v>Existing; required; initial 0</x:v>
      </x:c>
      <x:c r="G58" s="74" t="str">
        <x:v>Retain zero-allocation snapshot charges during default</x:v>
      </x:c>
      <x:c r="H58" s="74" t="str">
        <x:v>Valid If: OR([Principal Due] &lt;&gt; 0, [_THIS] &lt;&gt; 0, AND([Total Paid] = 0, COUNT(SELECT(Payment Allocations[Row ID], [Ref Charge] = [_THISROW].[Row ID])) &gt; 0, COUNT(SELECT(Payment Allocations[Row ID], AND([Ref Charge] = [_THISROW].[Row ID], OR([Allocated Amount] &lt;&gt; 0, [Ref Payment].[Status] &lt;&gt; "Posted")))) = 0)). Earlier rule: OR([Principal Due] &lt;&gt; 0, [_THIS] &lt;&gt; 0). Narrow zero/zero exception; signed default-loss interest remains supported.</x:v>
      </x:c>
    </x:row>
    <x:row r="62" ht="44" customHeight="1">
      <x:c r="A62" s="77" t="str">
        <x:v>Clone app</x:v>
      </x:c>
      <x:c r="B62" s="76" t="str">
        <x:v>LoanMgr Payments TEST 20260905; 1b901dff-2e47-477c-8d2c-28aad5556102; rollback v1.000002; model checkpoint v1.000065 confirmed in Manage &gt; Versions on September 6</x:v>
      </x:c>
      <x:c r="C62" s="76"/>
      <x:c r="D62" s="76"/>
      <x:c r="E62" s="76"/>
      <x:c r="F62" s="76"/>
      <x:c r="G62" s="76"/>
      <x:c r="H62" s="76"/>
    </x:row>
    <x:row r="63" ht="44" customHeight="1">
      <x:c r="A63" s="77" t="str">
        <x:v>Clone database</x:v>
      </x:c>
      <x:c r="B63" s="76" t="str">
        <x:v>Money Payments TEST 20260905; eEwpmrK1Zr4_ao2UcQzF42; 12 native tables; eight loaded in clone app</x:v>
      </x:c>
      <x:c r="C63" s="76"/>
      <x:c r="D63" s="76"/>
      <x:c r="E63" s="76"/>
      <x:c r="F63" s="76"/>
      <x:c r="G63" s="76"/>
      <x:c r="H63" s="76"/>
    </x:row>
    <x:row r="64" ht="44" customHeight="1">
      <x:c r="A64" s="77" t="str">
        <x:v>Production source</x:v>
      </x:c>
      <x:c r="B64" s="76" t="str">
        <x:v>Source OLTP v2.300005 observed before copy. Unrelated drift since the production inventory v2.300003 is pending reconciliation. Source native database: 9Y5vh3TFzZ4sIe2JgNh4l0</x:v>
      </x:c>
      <x:c r="C64" s="76"/>
      <x:c r="D64" s="76"/>
      <x:c r="E64" s="76"/>
      <x:c r="F64" s="76"/>
      <x:c r="G64" s="76"/>
      <x:c r="H64" s="76"/>
    </x:row>
    <x:row r="65" ht="44" customHeight="1">
      <x:c r="A65" s="77" t="str">
        <x:v>Clone tables</x:v>
      </x:c>
      <x:c r="B65" s="76" t="str">
        <x:v>Payments: 14 physical app columns including source ordinal and nine VCs, total 23. Payment Allocations: 14 physical app columns including source ordinal and five VCs, total 19. Repayments: two added References; Created By and five existing entry fields protected. Three reverse-reference VCs reconciled on Borrowers/Charges; one changed Interest Due validation. Two borrower slices automatically include Related Payments; exact membership is on Payments Clone Slices. Production counts exclude clone changes.</x:v>
      </x:c>
      <x:c r="C65" s="76"/>
      <x:c r="D65" s="76"/>
      <x:c r="E65" s="76"/>
      <x:c r="F65" s="76"/>
      <x:c r="G65" s="76"/>
      <x:c r="H65" s="76"/>
    </x:row>
    <x:row r="66" ht="44" customHeight="1">
      <x:c r="A66" s="77" t="str">
        <x:v>Default behavior</x:v>
      </x:c>
      <x:c r="B66" s="76" t="str">
        <x:v>Referenced snapshot charges are written off in place rather than deleted. Zero/zero Interest Due validation exception requires only zero Posted allocations and no actual paid amount. Default root blocks Processing/Error receipts. The group is not atomic: an initial validation failure partially committed; corrected fresh retest passed.</x:v>
      </x:c>
      <x:c r="C66" s="76"/>
      <x:c r="D66" s="76"/>
      <x:c r="E66" s="76"/>
      <x:c r="F66" s="76"/>
      <x:c r="G66" s="76"/>
      <x:c r="H66" s="76"/>
    </x:row>
    <x:row r="67" ht="44" customHeight="1">
      <x:c r="A67" s="77" t="str">
        <x:v>Cascade branch</x:v>
      </x:c>
      <x:c r="B67" s="76" t="str">
        <x:v>Borrowers &gt; Payments &gt; Payment Allocations uses IsPartOf. Cross-links to Charges and Repayments are independent. Existing Borrower &gt; Loan &gt; Charge &gt; Repayment cascade retained. Disposable Borrower B deletion completed across both branches after sync. Initial checks during sync were premature; see T034 correction.</x:v>
      </x:c>
      <x:c r="C67" s="76"/>
      <x:c r="D67" s="76"/>
      <x:c r="E67" s="76"/>
      <x:c r="F67" s="76"/>
      <x:c r="G67" s="76"/>
      <x:c r="H67" s="76"/>
    </x:row>
    <x:row r="68" ht="44" customHeight="1">
      <x:c r="A68" s="77" t="str">
        <x:v>Native column types</x:v>
      </x:c>
      <x:c r="B68" s="76" t="str">
        <x:v>All six newly added relationship fields are native Reference and app Ref. Temporary Text staging was superseded. Production migration should create native Reference directly.</x:v>
      </x:c>
      <x:c r="C68" s="76"/>
      <x:c r="D68" s="76"/>
      <x:c r="E68" s="76"/>
      <x:c r="F68" s="76"/>
      <x:c r="G68" s="76"/>
      <x:c r="H68" s="76"/>
    </x:row>
    <x:row r="69" ht="44" customHeight="1">
      <x:c r="A69" s="77" t="str">
        <x:v>Testing boundary</x:v>
      </x:c>
      <x:c r="B69" s="76" t="str">
        <x:v>Fresh first-day, lump sum100/205, cash partial2 and Receive All23 passed in synthetic fixtures after fixes. Full snapshot order and zero rows verified; Collection totals reconcile. Unposted receipt-to-allocation cascade passed. Borrower cascade, cross-date ordering, uneven final installment and default fixtures passed after completed sync/fixes. Broader regressions, offline/multi-user and acceptance remain pending. Initial failures are preserved in the execution report.</x:v>
      </x:c>
      <x:c r="C69" s="76"/>
      <x:c r="D69" s="76"/>
      <x:c r="E69" s="76"/>
      <x:c r="F69" s="76"/>
      <x:c r="G69" s="76"/>
      <x:c r="H69" s="76"/>
    </x:row>
    <x:row r="70" ht="44" customHeight="1">
      <x:c r="A70" s="77" t="str">
        <x:v>Change history</x:v>
      </x:c>
      <x:c r="B70" s="76" t="str">
        <x:v>Change Logs/CHANGE_NOTES_UNIVERSAL_PAYMENTS_CLONE_2026-09-05.md is authoritative. Borrowers/Charges reverse references reconciled. Loan Close preserves the existing loan scope. Native Row ID cannot be assigned by the inspected action picker. Processing was revised to query saved rows; receipt/default/cascade checks are recorded in the execution report; manual acceptance remains pending.</x:v>
      </x:c>
      <x:c r="C70" s="76"/>
      <x:c r="D70" s="76"/>
      <x:c r="E70" s="76"/>
      <x:c r="F70" s="76"/>
      <x:c r="G70" s="76"/>
      <x:c r="H70" s="76"/>
    </x:row>
    <x:row r="71" ht="44" customHeight="1">
      <x:c r="A71" s="77" t="str">
        <x:v>Editor source</x:v>
      </x:c>
      <x:c r="B71" s="76" t="str">
        <x:v>https://www.appsheet.com/template/appdef?appId=LoanMgrPaymentsTEST20260905-578763613&amp;appName=LoanMgrPaymentsTEST20260905-578763613</x:v>
      </x:c>
      <x:c r="C71" s="76"/>
      <x:c r="D71" s="76"/>
      <x:c r="E71" s="76"/>
      <x:c r="F71" s="76"/>
      <x:c r="G71" s="76"/>
      <x:c r="H71" s="76"/>
    </x:row>
    <x:row r="72" ht="44" customHeight="1">
      <x:c r="A72" s="77" t="str">
        <x:v>Database source</x:v>
      </x:c>
      <x:c r="B72" s="76" t="str">
        <x:v>https://www.appsheet.com/dbs/database/eEwpmrK1Zr4_ao2UcQzF42/table/7rco54zfAb4EEbaVFZpkJc</x:v>
      </x:c>
      <x:c r="C72" s="76"/>
      <x:c r="D72" s="76"/>
      <x:c r="E72" s="76"/>
      <x:c r="F72" s="76"/>
      <x:c r="G72" s="76"/>
      <x:c r="H72" s="76"/>
    </x:row>
  </x:sheetData>
  <x:mergeCells>
    <x:mergeCell ref="B62:H62"/>
    <x:mergeCell ref="B63:H63"/>
    <x:mergeCell ref="B64:H64"/>
    <x:mergeCell ref="B65:H65"/>
    <x:mergeCell ref="B66:H66"/>
    <x:mergeCell ref="B67:H67"/>
    <x:mergeCell ref="B68:H68"/>
    <x:mergeCell ref="B69:H69"/>
    <x:mergeCell ref="B70:H70"/>
    <x:mergeCell ref="B71:H71"/>
    <x:mergeCell ref="B72:H72"/>
  </x:mergeCells>
  <x:pageMargins left="0.7" right="0.7" top="0.75" bottom="0.75" header="0.3" footer="0.3"/>
  <x:tableParts count="1">
    <x:tablePart xmlns:r="http://schemas.openxmlformats.org/officeDocument/2006/relationships" r:id="R4b695cb52b8b4b5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5" hidden="0" customWidth="1"/>
    <x:col min="3" max="3" width="10" hidden="0" customWidth="1"/>
    <x:col min="4" max="4" width="40" hidden="0" customWidth="1"/>
    <x:col min="5" max="5" width="47" hidden="0" customWidth="1"/>
    <x:col min="6" max="6" width="25" hidden="0" customWidth="1"/>
    <x:col min="7" max="7" width="20" hidden="0" customWidth="1"/>
  </x:cols>
  <x:sheetData>
    <x:row r="1" ht="30" customHeight="1">
      <x:c r="A1" s="79" t="str">
        <x:v>Clone slice membership — v1.000065</x:v>
      </x:c>
      <x:c r="B1" s="79"/>
      <x:c r="C1" s="79"/>
      <x:c r="D1" s="79"/>
      <x:c r="E1" s="79"/>
      <x:c r="F1" s="79"/>
      <x:c r="G1" s="79"/>
    </x:row>
    <x:row r="2" ht="36" customHeight="1">
      <x:c r="A2" s="73" t="str">
        <x:v>Clone only. Related Payments was automatically appended to both borrower slices; production sheets retain their baseline.</x:v>
      </x:c>
      <x:c r="B2" s="73"/>
      <x:c r="C2" s="73"/>
      <x:c r="D2" s="73"/>
      <x:c r="E2" s="73"/>
      <x:c r="F2" s="73"/>
      <x:c r="G2" s="73"/>
    </x:row>
    <x:row r="4" ht="34" customHeight="1">
      <x:c r="A4" s="76" t="str">
        <x:v>Slice</x:v>
      </x:c>
      <x:c r="B4" s="76" t="str">
        <x:v>Source</x:v>
      </x:c>
      <x:c r="C4" s="76" t="str">
        <x:v>Position</x:v>
      </x:c>
      <x:c r="D4" s="76" t="str">
        <x:v>Column</x:v>
      </x:c>
      <x:c r="E4" s="76" t="str">
        <x:v>Row filter</x:v>
      </x:c>
      <x:c r="F4" s="76" t="str">
        <x:v>Update mode</x:v>
      </x:c>
      <x:c r="G4" s="76" t="str">
        <x:v>Slice actions</x:v>
      </x:c>
    </x:row>
    <x:row r="5" ht="34" customHeight="1">
      <x:c r="A5" s="76" t="str">
        <x:v>Visible Borrowers</x:v>
      </x:c>
      <x:c r="B5" s="76" t="str">
        <x:v>Borrowers</x:v>
      </x:c>
      <x:c r="C5" s="76" t="n">
        <x:v>1</x:v>
      </x:c>
      <x:c r="D5" s="76" t="str">
        <x:v>_RowNumber</x:v>
      </x:c>
      <x:c r="E5" s="76" t="str">
        <x:v>NOT([Hidden Flag])</x:v>
      </x:c>
      <x:c r="F5" s="76" t="str">
        <x:v>Adds, Updates, Deletes</x:v>
      </x:c>
      <x:c r="G5" s="76" t="str">
        <x:v>Auto assign</x:v>
      </x:c>
    </x:row>
    <x:row r="6" ht="34" customHeight="1">
      <x:c r="A6" s="76" t="str">
        <x:v>Visible Borrowers</x:v>
      </x:c>
      <x:c r="B6" s="76" t="str">
        <x:v>Borrowers</x:v>
      </x:c>
      <x:c r="C6" s="76" t="n">
        <x:v>2</x:v>
      </x:c>
      <x:c r="D6" s="76" t="str">
        <x:v>Row ID</x:v>
      </x:c>
      <x:c r="E6" s="76" t="str">
        <x:v>NOT([Hidden Flag])</x:v>
      </x:c>
      <x:c r="F6" s="76" t="str">
        <x:v>Adds, Updates, Deletes</x:v>
      </x:c>
      <x:c r="G6" s="76" t="str">
        <x:v>Auto assign</x:v>
      </x:c>
    </x:row>
    <x:row r="7" ht="34" customHeight="1">
      <x:c r="A7" s="76" t="str">
        <x:v>Visible Borrowers</x:v>
      </x:c>
      <x:c r="B7" s="76" t="str">
        <x:v>Borrowers</x:v>
      </x:c>
      <x:c r="C7" s="76" t="n">
        <x:v>3</x:v>
      </x:c>
      <x:c r="D7" s="76" t="str">
        <x:v>Borrower Name</x:v>
      </x:c>
      <x:c r="E7" s="76" t="str">
        <x:v>NOT([Hidden Flag])</x:v>
      </x:c>
      <x:c r="F7" s="76" t="str">
        <x:v>Adds, Updates, Deletes</x:v>
      </x:c>
      <x:c r="G7" s="76" t="str">
        <x:v>Auto assign</x:v>
      </x:c>
    </x:row>
    <x:row r="8" ht="34" customHeight="1">
      <x:c r="A8" s="76" t="str">
        <x:v>Visible Borrowers</x:v>
      </x:c>
      <x:c r="B8" s="76" t="str">
        <x:v>Borrowers</x:v>
      </x:c>
      <x:c r="C8" s="76" t="n">
        <x:v>4</x:v>
      </x:c>
      <x:c r="D8" s="76" t="str">
        <x:v>Telephone</x:v>
      </x:c>
      <x:c r="E8" s="76" t="str">
        <x:v>NOT([Hidden Flag])</x:v>
      </x:c>
      <x:c r="F8" s="76" t="str">
        <x:v>Adds, Updates, Deletes</x:v>
      </x:c>
      <x:c r="G8" s="76" t="str">
        <x:v>Auto assign</x:v>
      </x:c>
    </x:row>
    <x:row r="9" ht="34" customHeight="1">
      <x:c r="A9" s="76" t="str">
        <x:v>Visible Borrowers</x:v>
      </x:c>
      <x:c r="B9" s="76" t="str">
        <x:v>Borrowers</x:v>
      </x:c>
      <x:c r="C9" s="76" t="n">
        <x:v>5</x:v>
      </x:c>
      <x:c r="D9" s="76" t="str">
        <x:v>Description</x:v>
      </x:c>
      <x:c r="E9" s="76" t="str">
        <x:v>NOT([Hidden Flag])</x:v>
      </x:c>
      <x:c r="F9" s="76" t="str">
        <x:v>Adds, Updates, Deletes</x:v>
      </x:c>
      <x:c r="G9" s="76" t="str">
        <x:v>Auto assign</x:v>
      </x:c>
    </x:row>
    <x:row r="10" ht="34" customHeight="1">
      <x:c r="A10" s="76" t="str">
        <x:v>Visible Borrowers</x:v>
      </x:c>
      <x:c r="B10" s="76" t="str">
        <x:v>Borrowers</x:v>
      </x:c>
      <x:c r="C10" s="76" t="n">
        <x:v>6</x:v>
      </x:c>
      <x:c r="D10" s="76" t="str">
        <x:v>Creation Date</x:v>
      </x:c>
      <x:c r="E10" s="76" t="str">
        <x:v>NOT([Hidden Flag])</x:v>
      </x:c>
      <x:c r="F10" s="76" t="str">
        <x:v>Adds, Updates, Deletes</x:v>
      </x:c>
      <x:c r="G10" s="76" t="str">
        <x:v>Auto assign</x:v>
      </x:c>
    </x:row>
    <x:row r="11" ht="34" customHeight="1">
      <x:c r="A11" s="76" t="str">
        <x:v>Visible Borrowers</x:v>
      </x:c>
      <x:c r="B11" s="76" t="str">
        <x:v>Borrowers</x:v>
      </x:c>
      <x:c r="C11" s="76" t="n">
        <x:v>7</x:v>
      </x:c>
      <x:c r="D11" s="76" t="str">
        <x:v>Hidden Flag</x:v>
      </x:c>
      <x:c r="E11" s="76" t="str">
        <x:v>NOT([Hidden Flag])</x:v>
      </x:c>
      <x:c r="F11" s="76" t="str">
        <x:v>Adds, Updates, Deletes</x:v>
      </x:c>
      <x:c r="G11" s="76" t="str">
        <x:v>Auto assign</x:v>
      </x:c>
    </x:row>
    <x:row r="12" ht="34" customHeight="1">
      <x:c r="A12" s="76" t="str">
        <x:v>Visible Borrowers</x:v>
      </x:c>
      <x:c r="B12" s="76" t="str">
        <x:v>Borrowers</x:v>
      </x:c>
      <x:c r="C12" s="76" t="n">
        <x:v>8</x:v>
      </x:c>
      <x:c r="D12" s="76" t="str">
        <x:v>Related Loans</x:v>
      </x:c>
      <x:c r="E12" s="76" t="str">
        <x:v>NOT([Hidden Flag])</x:v>
      </x:c>
      <x:c r="F12" s="76" t="str">
        <x:v>Adds, Updates, Deletes</x:v>
      </x:c>
      <x:c r="G12" s="76" t="str">
        <x:v>Auto assign</x:v>
      </x:c>
    </x:row>
    <x:row r="13" ht="34" customHeight="1">
      <x:c r="A13" s="76" t="str">
        <x:v>Visible Borrowers</x:v>
      </x:c>
      <x:c r="B13" s="76" t="str">
        <x:v>Borrowers</x:v>
      </x:c>
      <x:c r="C13" s="76" t="n">
        <x:v>9</x:v>
      </x:c>
      <x:c r="D13" s="76" t="str">
        <x:v>Total Interest Earned</x:v>
      </x:c>
      <x:c r="E13" s="76" t="str">
        <x:v>NOT([Hidden Flag])</x:v>
      </x:c>
      <x:c r="F13" s="76" t="str">
        <x:v>Adds, Updates, Deletes</x:v>
      </x:c>
      <x:c r="G13" s="76" t="str">
        <x:v>Auto assign</x:v>
      </x:c>
    </x:row>
    <x:row r="14" ht="34" customHeight="1">
      <x:c r="A14" s="76" t="str">
        <x:v>Visible Borrowers</x:v>
      </x:c>
      <x:c r="B14" s="76" t="str">
        <x:v>Borrowers</x:v>
      </x:c>
      <x:c r="C14" s="76" t="n">
        <x:v>10</x:v>
      </x:c>
      <x:c r="D14" s="76" t="str">
        <x:v>Total Amount Loaned</x:v>
      </x:c>
      <x:c r="E14" s="76" t="str">
        <x:v>NOT([Hidden Flag])</x:v>
      </x:c>
      <x:c r="F14" s="76" t="str">
        <x:v>Adds, Updates, Deletes</x:v>
      </x:c>
      <x:c r="G14" s="76" t="str">
        <x:v>Auto assign</x:v>
      </x:c>
    </x:row>
    <x:row r="15" ht="34" customHeight="1">
      <x:c r="A15" s="76" t="str">
        <x:v>Visible Borrowers</x:v>
      </x:c>
      <x:c r="B15" s="76" t="str">
        <x:v>Borrowers</x:v>
      </x:c>
      <x:c r="C15" s="76" t="n">
        <x:v>11</x:v>
      </x:c>
      <x:c r="D15" s="76" t="str">
        <x:v>Total Number of Loans</x:v>
      </x:c>
      <x:c r="E15" s="76" t="str">
        <x:v>NOT([Hidden Flag])</x:v>
      </x:c>
      <x:c r="F15" s="76" t="str">
        <x:v>Adds, Updates, Deletes</x:v>
      </x:c>
      <x:c r="G15" s="76" t="str">
        <x:v>Auto assign</x:v>
      </x:c>
    </x:row>
    <x:row r="16" ht="34" customHeight="1">
      <x:c r="A16" s="76" t="str">
        <x:v>Visible Borrowers</x:v>
      </x:c>
      <x:c r="B16" s="76" t="str">
        <x:v>Borrowers</x:v>
      </x:c>
      <x:c r="C16" s="76" t="n">
        <x:v>12</x:v>
      </x:c>
      <x:c r="D16" s="76" t="str">
        <x:v>Total Outstanding Principal</x:v>
      </x:c>
      <x:c r="E16" s="76" t="str">
        <x:v>NOT([Hidden Flag])</x:v>
      </x:c>
      <x:c r="F16" s="76" t="str">
        <x:v>Adds, Updates, Deletes</x:v>
      </x:c>
      <x:c r="G16" s="76" t="str">
        <x:v>Auto assign</x:v>
      </x:c>
    </x:row>
    <x:row r="17" ht="34" customHeight="1">
      <x:c r="A17" s="76" t="str">
        <x:v>Visible Borrowers</x:v>
      </x:c>
      <x:c r="B17" s="76" t="str">
        <x:v>Borrowers</x:v>
      </x:c>
      <x:c r="C17" s="76" t="n">
        <x:v>13</x:v>
      </x:c>
      <x:c r="D17" s="76" t="str">
        <x:v>Header - Active Loans</x:v>
      </x:c>
      <x:c r="E17" s="76" t="str">
        <x:v>NOT([Hidden Flag])</x:v>
      </x:c>
      <x:c r="F17" s="76" t="str">
        <x:v>Adds, Updates, Deletes</x:v>
      </x:c>
      <x:c r="G17" s="76" t="str">
        <x:v>Auto assign</x:v>
      </x:c>
    </x:row>
    <x:row r="18" ht="34" customHeight="1">
      <x:c r="A18" s="76" t="str">
        <x:v>Visible Borrowers</x:v>
      </x:c>
      <x:c r="B18" s="76" t="str">
        <x:v>Borrowers</x:v>
      </x:c>
      <x:c r="C18" s="76" t="n">
        <x:v>14</x:v>
      </x:c>
      <x:c r="D18" s="76" t="str">
        <x:v>Borrower Name TE</x:v>
      </x:c>
      <x:c r="E18" s="76" t="str">
        <x:v>NOT([Hidden Flag])</x:v>
      </x:c>
      <x:c r="F18" s="76" t="str">
        <x:v>Adds, Updates, Deletes</x:v>
      </x:c>
      <x:c r="G18" s="76" t="str">
        <x:v>Auto assign</x:v>
      </x:c>
    </x:row>
    <x:row r="19" ht="34" customHeight="1">
      <x:c r="A19" s="76" t="str">
        <x:v>Visible Borrowers</x:v>
      </x:c>
      <x:c r="B19" s="76" t="str">
        <x:v>Borrowers</x:v>
      </x:c>
      <x:c r="C19" s="76" t="n">
        <x:v>15</x:v>
      </x:c>
      <x:c r="D19" s="76" t="str">
        <x:v>Return on Active Principal</x:v>
      </x:c>
      <x:c r="E19" s="76" t="str">
        <x:v>NOT([Hidden Flag])</x:v>
      </x:c>
      <x:c r="F19" s="76" t="str">
        <x:v>Adds, Updates, Deletes</x:v>
      </x:c>
      <x:c r="G19" s="76" t="str">
        <x:v>Auto assign</x:v>
      </x:c>
    </x:row>
    <x:row r="20" ht="34" customHeight="1">
      <x:c r="A20" s="76" t="str">
        <x:v>Visible Borrowers</x:v>
      </x:c>
      <x:c r="B20" s="76" t="str">
        <x:v>Borrowers</x:v>
      </x:c>
      <x:c r="C20" s="76" t="n">
        <x:v>16</x:v>
      </x:c>
      <x:c r="D20" s="76" t="str">
        <x:v>Active Loan Interest Earned</x:v>
      </x:c>
      <x:c r="E20" s="76" t="str">
        <x:v>NOT([Hidden Flag])</x:v>
      </x:c>
      <x:c r="F20" s="76" t="str">
        <x:v>Adds, Updates, Deletes</x:v>
      </x:c>
      <x:c r="G20" s="76" t="str">
        <x:v>Auto assign</x:v>
      </x:c>
    </x:row>
    <x:row r="21" ht="34" customHeight="1">
      <x:c r="A21" s="76" t="str">
        <x:v>Visible Borrowers</x:v>
      </x:c>
      <x:c r="B21" s="76" t="str">
        <x:v>Borrowers</x:v>
      </x:c>
      <x:c r="C21" s="76" t="n">
        <x:v>17</x:v>
      </x:c>
      <x:c r="D21" s="76" t="str">
        <x:v>Active Daily Interest</x:v>
      </x:c>
      <x:c r="E21" s="76" t="str">
        <x:v>NOT([Hidden Flag])</x:v>
      </x:c>
      <x:c r="F21" s="76" t="str">
        <x:v>Adds, Updates, Deletes</x:v>
      </x:c>
      <x:c r="G21" s="76" t="str">
        <x:v>Auto assign</x:v>
      </x:c>
    </x:row>
    <x:row r="22" ht="34" customHeight="1">
      <x:c r="A22" s="76" t="str">
        <x:v>Visible Borrowers</x:v>
      </x:c>
      <x:c r="B22" s="76" t="str">
        <x:v>Borrowers</x:v>
      </x:c>
      <x:c r="C22" s="76" t="n">
        <x:v>18</x:v>
      </x:c>
      <x:c r="D22" s="76" t="str">
        <x:v>Projected Interest Coverage Date</x:v>
      </x:c>
      <x:c r="E22" s="76" t="str">
        <x:v>NOT([Hidden Flag])</x:v>
      </x:c>
      <x:c r="F22" s="76" t="str">
        <x:v>Adds, Updates, Deletes</x:v>
      </x:c>
      <x:c r="G22" s="76" t="str">
        <x:v>Auto assign</x:v>
      </x:c>
    </x:row>
    <x:row r="23" ht="34" customHeight="1">
      <x:c r="A23" s="76" t="str">
        <x:v>Visible Borrowers</x:v>
      </x:c>
      <x:c r="B23" s="76" t="str">
        <x:v>Borrowers</x:v>
      </x:c>
      <x:c r="C23" s="76" t="n">
        <x:v>19</x:v>
      </x:c>
      <x:c r="D23" s="76" t="str">
        <x:v>Closed Loan Interest Earned</x:v>
      </x:c>
      <x:c r="E23" s="76" t="str">
        <x:v>NOT([Hidden Flag])</x:v>
      </x:c>
      <x:c r="F23" s="76" t="str">
        <x:v>Adds, Updates, Deletes</x:v>
      </x:c>
      <x:c r="G23" s="76" t="str">
        <x:v>Auto assign</x:v>
      </x:c>
    </x:row>
    <x:row r="24" ht="34" customHeight="1">
      <x:c r="A24" s="76" t="str">
        <x:v>Visible Borrowers</x:v>
      </x:c>
      <x:c r="B24" s="76" t="str">
        <x:v>Borrowers</x:v>
      </x:c>
      <x:c r="C24" s="76" t="n">
        <x:v>20</x:v>
      </x:c>
      <x:c r="D24" s="76" t="str">
        <x:v>Closed Loan Principle</x:v>
      </x:c>
      <x:c r="E24" s="76" t="str">
        <x:v>NOT([Hidden Flag])</x:v>
      </x:c>
      <x:c r="F24" s="76" t="str">
        <x:v>Adds, Updates, Deletes</x:v>
      </x:c>
      <x:c r="G24" s="76" t="str">
        <x:v>Auto assign</x:v>
      </x:c>
    </x:row>
    <x:row r="25" ht="34" customHeight="1">
      <x:c r="A25" s="76" t="str">
        <x:v>Visible Borrowers</x:v>
      </x:c>
      <x:c r="B25" s="76" t="str">
        <x:v>Borrowers</x:v>
      </x:c>
      <x:c r="C25" s="76" t="n">
        <x:v>21</x:v>
      </x:c>
      <x:c r="D25" s="76" t="str">
        <x:v>Has Closed Loan</x:v>
      </x:c>
      <x:c r="E25" s="76" t="str">
        <x:v>NOT([Hidden Flag])</x:v>
      </x:c>
      <x:c r="F25" s="76" t="str">
        <x:v>Adds, Updates, Deletes</x:v>
      </x:c>
      <x:c r="G25" s="76" t="str">
        <x:v>Auto assign</x:v>
      </x:c>
    </x:row>
    <x:row r="26" ht="34" customHeight="1">
      <x:c r="A26" s="76" t="str">
        <x:v>Visible Borrowers</x:v>
      </x:c>
      <x:c r="B26" s="76" t="str">
        <x:v>Borrowers</x:v>
      </x:c>
      <x:c r="C26" s="76" t="n">
        <x:v>22</x:v>
      </x:c>
      <x:c r="D26" s="76" t="str">
        <x:v>Return on Closed Loans</x:v>
      </x:c>
      <x:c r="E26" s="76" t="str">
        <x:v>NOT([Hidden Flag])</x:v>
      </x:c>
      <x:c r="F26" s="76" t="str">
        <x:v>Adds, Updates, Deletes</x:v>
      </x:c>
      <x:c r="G26" s="76" t="str">
        <x:v>Auto assign</x:v>
      </x:c>
    </x:row>
    <x:row r="27" ht="34" customHeight="1">
      <x:c r="A27" s="76" t="str">
        <x:v>Visible Borrowers</x:v>
      </x:c>
      <x:c r="B27" s="76" t="str">
        <x:v>Borrowers</x:v>
      </x:c>
      <x:c r="C27" s="76" t="n">
        <x:v>23</x:v>
      </x:c>
      <x:c r="D27" s="76" t="str">
        <x:v>Header - Closed Loans</x:v>
      </x:c>
      <x:c r="E27" s="76" t="str">
        <x:v>NOT([Hidden Flag])</x:v>
      </x:c>
      <x:c r="F27" s="76" t="str">
        <x:v>Adds, Updates, Deletes</x:v>
      </x:c>
      <x:c r="G27" s="76" t="str">
        <x:v>Auto assign</x:v>
      </x:c>
    </x:row>
    <x:row r="28" ht="34" customHeight="1">
      <x:c r="A28" s="76" t="str">
        <x:v>Visible Borrowers</x:v>
      </x:c>
      <x:c r="B28" s="76" t="str">
        <x:v>Borrowers</x:v>
      </x:c>
      <x:c r="C28" s="76" t="n">
        <x:v>24</x:v>
      </x:c>
      <x:c r="D28" s="76" t="str">
        <x:v>Has Active Loan</x:v>
      </x:c>
      <x:c r="E28" s="76" t="str">
        <x:v>NOT([Hidden Flag])</x:v>
      </x:c>
      <x:c r="F28" s="76" t="str">
        <x:v>Adds, Updates, Deletes</x:v>
      </x:c>
      <x:c r="G28" s="76" t="str">
        <x:v>Auto assign</x:v>
      </x:c>
    </x:row>
    <x:row r="29" ht="34" customHeight="1">
      <x:c r="A29" s="76" t="str">
        <x:v>Visible Borrowers</x:v>
      </x:c>
      <x:c r="B29" s="76" t="str">
        <x:v>Borrowers</x:v>
      </x:c>
      <x:c r="C29" s="76" t="n">
        <x:v>25</x:v>
      </x:c>
      <x:c r="D29" s="76" t="str">
        <x:v>Daily Collection Status</x:v>
      </x:c>
      <x:c r="E29" s="76" t="str">
        <x:v>NOT([Hidden Flag])</x:v>
      </x:c>
      <x:c r="F29" s="76" t="str">
        <x:v>Adds, Updates, Deletes</x:v>
      </x:c>
      <x:c r="G29" s="76" t="str">
        <x:v>Auto assign</x:v>
      </x:c>
    </x:row>
    <x:row r="30" ht="34" customHeight="1">
      <x:c r="A30" s="76" t="str">
        <x:v>Visible Borrowers</x:v>
      </x:c>
      <x:c r="B30" s="76" t="str">
        <x:v>Borrowers</x:v>
      </x:c>
      <x:c r="C30" s="76" t="n">
        <x:v>26</x:v>
      </x:c>
      <x:c r="D30" s="76" t="str">
        <x:v>Todays Collection Charges</x:v>
      </x:c>
      <x:c r="E30" s="76" t="str">
        <x:v>NOT([Hidden Flag])</x:v>
      </x:c>
      <x:c r="F30" s="76" t="str">
        <x:v>Adds, Updates, Deletes</x:v>
      </x:c>
      <x:c r="G30" s="76" t="str">
        <x:v>Auto assign</x:v>
      </x:c>
    </x:row>
    <x:row r="31" ht="34" customHeight="1">
      <x:c r="A31" s="76" t="str">
        <x:v>Visible Borrowers</x:v>
      </x:c>
      <x:c r="B31" s="76" t="str">
        <x:v>Borrowers</x:v>
      </x:c>
      <x:c r="C31" s="76" t="n">
        <x:v>27</x:v>
      </x:c>
      <x:c r="D31" s="76" t="str">
        <x:v>Todays Amount Due</x:v>
      </x:c>
      <x:c r="E31" s="76" t="str">
        <x:v>NOT([Hidden Flag])</x:v>
      </x:c>
      <x:c r="F31" s="76" t="str">
        <x:v>Adds, Updates, Deletes</x:v>
      </x:c>
      <x:c r="G31" s="76" t="str">
        <x:v>Auto assign</x:v>
      </x:c>
    </x:row>
    <x:row r="32" ht="34" customHeight="1">
      <x:c r="A32" s="76" t="str">
        <x:v>Visible Borrowers</x:v>
      </x:c>
      <x:c r="B32" s="76" t="str">
        <x:v>Borrowers</x:v>
      </x:c>
      <x:c r="C32" s="76" t="n">
        <x:v>28</x:v>
      </x:c>
      <x:c r="D32" s="76" t="str">
        <x:v>Todays Amount Collected</x:v>
      </x:c>
      <x:c r="E32" s="76" t="str">
        <x:v>NOT([Hidden Flag])</x:v>
      </x:c>
      <x:c r="F32" s="76" t="str">
        <x:v>Adds, Updates, Deletes</x:v>
      </x:c>
      <x:c r="G32" s="76" t="str">
        <x:v>Auto assign</x:v>
      </x:c>
    </x:row>
    <x:row r="33" ht="34" customHeight="1">
      <x:c r="A33" s="76" t="str">
        <x:v>Visible Borrowers</x:v>
      </x:c>
      <x:c r="B33" s="76" t="str">
        <x:v>Borrowers</x:v>
      </x:c>
      <x:c r="C33" s="76" t="n">
        <x:v>29</x:v>
      </x:c>
      <x:c r="D33" s="76" t="str">
        <x:v>Todays Amount Remaining</x:v>
      </x:c>
      <x:c r="E33" s="76" t="str">
        <x:v>NOT([Hidden Flag])</x:v>
      </x:c>
      <x:c r="F33" s="76" t="str">
        <x:v>Adds, Updates, Deletes</x:v>
      </x:c>
      <x:c r="G33" s="76" t="str">
        <x:v>Auto assign</x:v>
      </x:c>
    </x:row>
    <x:row r="34" ht="34" customHeight="1">
      <x:c r="A34" s="76" t="str">
        <x:v>Visible Borrowers</x:v>
      </x:c>
      <x:c r="B34" s="76" t="str">
        <x:v>Borrowers</x:v>
      </x:c>
      <x:c r="C34" s="76" t="n">
        <x:v>30</x:v>
      </x:c>
      <x:c r="D34" s="76" t="str">
        <x:v>Daily Collection Status - Order</x:v>
      </x:c>
      <x:c r="E34" s="76" t="str">
        <x:v>NOT([Hidden Flag])</x:v>
      </x:c>
      <x:c r="F34" s="76" t="str">
        <x:v>Adds, Updates, Deletes</x:v>
      </x:c>
      <x:c r="G34" s="76" t="str">
        <x:v>Auto assign</x:v>
      </x:c>
    </x:row>
    <x:row r="35" ht="34" customHeight="1">
      <x:c r="A35" s="76" t="str">
        <x:v>Visible Borrowers</x:v>
      </x:c>
      <x:c r="B35" s="76" t="str">
        <x:v>Borrowers</x:v>
      </x:c>
      <x:c r="C35" s="76" t="n">
        <x:v>31</x:v>
      </x:c>
      <x:c r="D35" s="76" t="str">
        <x:v>Borrower Name - Collection</x:v>
      </x:c>
      <x:c r="E35" s="76" t="str">
        <x:v>NOT([Hidden Flag])</x:v>
      </x:c>
      <x:c r="F35" s="76" t="str">
        <x:v>Adds, Updates, Deletes</x:v>
      </x:c>
      <x:c r="G35" s="76" t="str">
        <x:v>Auto assign</x:v>
      </x:c>
    </x:row>
    <x:row r="36" ht="34" customHeight="1">
      <x:c r="A36" s="76" t="str">
        <x:v>Visible Borrowers</x:v>
      </x:c>
      <x:c r="B36" s="76" t="str">
        <x:v>Borrowers</x:v>
      </x:c>
      <x:c r="C36" s="76" t="n">
        <x:v>32</x:v>
      </x:c>
      <x:c r="D36" s="76" t="str">
        <x:v>Active Profit After Principal Coverage</x:v>
      </x:c>
      <x:c r="E36" s="76" t="str">
        <x:v>NOT([Hidden Flag])</x:v>
      </x:c>
      <x:c r="F36" s="76" t="str">
        <x:v>Adds, Updates, Deletes</x:v>
      </x:c>
      <x:c r="G36" s="76" t="str">
        <x:v>Auto assign</x:v>
      </x:c>
    </x:row>
    <x:row r="37" ht="34" customHeight="1">
      <x:c r="A37" s="76" t="str">
        <x:v>Visible Borrowers</x:v>
      </x:c>
      <x:c r="B37" s="76" t="str">
        <x:v>Borrowers</x:v>
      </x:c>
      <x:c r="C37" s="76" t="n">
        <x:v>33</x:v>
      </x:c>
      <x:c r="D37" s="76" t="str">
        <x:v>Related Payments</x:v>
      </x:c>
      <x:c r="E37" s="76" t="str">
        <x:v>NOT([Hidden Flag])</x:v>
      </x:c>
      <x:c r="F37" s="76" t="str">
        <x:v>Adds, Updates, Deletes</x:v>
      </x:c>
      <x:c r="G37" s="76" t="str">
        <x:v>Auto assign</x:v>
      </x:c>
    </x:row>
    <x:row r="38" ht="34" customHeight="1">
      <x:c r="A38" s="76" t="str">
        <x:v>Todays Collection Board</x:v>
      </x:c>
      <x:c r="B38" s="76" t="str">
        <x:v>Borrowers</x:v>
      </x:c>
      <x:c r="C38" s="76" t="n">
        <x:v>1</x:v>
      </x:c>
      <x:c r="D38" s="76" t="str">
        <x:v>_RowNumber</x:v>
      </x:c>
      <x:c r="E38" s="76" t="str">
        <x:v>ISNOTBLANK([Daily Collection Status])</x:v>
      </x:c>
      <x:c r="F38" s="76" t="str">
        <x:v>Read-only</x:v>
      </x:c>
      <x:c r="G38" s="76" t="str">
        <x:v>Auto assign</x:v>
      </x:c>
    </x:row>
    <x:row r="39" ht="34" customHeight="1">
      <x:c r="A39" s="76" t="str">
        <x:v>Todays Collection Board</x:v>
      </x:c>
      <x:c r="B39" s="76" t="str">
        <x:v>Borrowers</x:v>
      </x:c>
      <x:c r="C39" s="76" t="n">
        <x:v>2</x:v>
      </x:c>
      <x:c r="D39" s="76" t="str">
        <x:v>Row ID</x:v>
      </x:c>
      <x:c r="E39" s="76" t="str">
        <x:v>ISNOTBLANK([Daily Collection Status])</x:v>
      </x:c>
      <x:c r="F39" s="76" t="str">
        <x:v>Read-only</x:v>
      </x:c>
      <x:c r="G39" s="76" t="str">
        <x:v>Auto assign</x:v>
      </x:c>
    </x:row>
    <x:row r="40" ht="34" customHeight="1">
      <x:c r="A40" s="76" t="str">
        <x:v>Todays Collection Board</x:v>
      </x:c>
      <x:c r="B40" s="76" t="str">
        <x:v>Borrowers</x:v>
      </x:c>
      <x:c r="C40" s="76" t="n">
        <x:v>3</x:v>
      </x:c>
      <x:c r="D40" s="76" t="str">
        <x:v>Borrower Name</x:v>
      </x:c>
      <x:c r="E40" s="76" t="str">
        <x:v>ISNOTBLANK([Daily Collection Status])</x:v>
      </x:c>
      <x:c r="F40" s="76" t="str">
        <x:v>Read-only</x:v>
      </x:c>
      <x:c r="G40" s="76" t="str">
        <x:v>Auto assign</x:v>
      </x:c>
    </x:row>
    <x:row r="41" ht="34" customHeight="1">
      <x:c r="A41" s="76" t="str">
        <x:v>Todays Collection Board</x:v>
      </x:c>
      <x:c r="B41" s="76" t="str">
        <x:v>Borrowers</x:v>
      </x:c>
      <x:c r="C41" s="76" t="n">
        <x:v>4</x:v>
      </x:c>
      <x:c r="D41" s="76" t="str">
        <x:v>Description</x:v>
      </x:c>
      <x:c r="E41" s="76" t="str">
        <x:v>ISNOTBLANK([Daily Collection Status])</x:v>
      </x:c>
      <x:c r="F41" s="76" t="str">
        <x:v>Read-only</x:v>
      </x:c>
      <x:c r="G41" s="76" t="str">
        <x:v>Auto assign</x:v>
      </x:c>
    </x:row>
    <x:row r="42" ht="34" customHeight="1">
      <x:c r="A42" s="76" t="str">
        <x:v>Todays Collection Board</x:v>
      </x:c>
      <x:c r="B42" s="76" t="str">
        <x:v>Borrowers</x:v>
      </x:c>
      <x:c r="C42" s="76" t="n">
        <x:v>5</x:v>
      </x:c>
      <x:c r="D42" s="76" t="str">
        <x:v>Daily Collection Status - Order</x:v>
      </x:c>
      <x:c r="E42" s="76" t="str">
        <x:v>ISNOTBLANK([Daily Collection Status])</x:v>
      </x:c>
      <x:c r="F42" s="76" t="str">
        <x:v>Read-only</x:v>
      </x:c>
      <x:c r="G42" s="76" t="str">
        <x:v>Auto assign</x:v>
      </x:c>
    </x:row>
    <x:row r="43" ht="34" customHeight="1">
      <x:c r="A43" s="76" t="str">
        <x:v>Todays Collection Board</x:v>
      </x:c>
      <x:c r="B43" s="76" t="str">
        <x:v>Borrowers</x:v>
      </x:c>
      <x:c r="C43" s="76" t="n">
        <x:v>6</x:v>
      </x:c>
      <x:c r="D43" s="76" t="str">
        <x:v>Todays Amount Due</x:v>
      </x:c>
      <x:c r="E43" s="76" t="str">
        <x:v>ISNOTBLANK([Daily Collection Status])</x:v>
      </x:c>
      <x:c r="F43" s="76" t="str">
        <x:v>Read-only</x:v>
      </x:c>
      <x:c r="G43" s="76" t="str">
        <x:v>Auto assign</x:v>
      </x:c>
    </x:row>
    <x:row r="44" ht="34" customHeight="1">
      <x:c r="A44" s="76" t="str">
        <x:v>Todays Collection Board</x:v>
      </x:c>
      <x:c r="B44" s="76" t="str">
        <x:v>Borrowers</x:v>
      </x:c>
      <x:c r="C44" s="76" t="n">
        <x:v>7</x:v>
      </x:c>
      <x:c r="D44" s="76" t="str">
        <x:v>Todays Amount Collected</x:v>
      </x:c>
      <x:c r="E44" s="76" t="str">
        <x:v>ISNOTBLANK([Daily Collection Status])</x:v>
      </x:c>
      <x:c r="F44" s="76" t="str">
        <x:v>Read-only</x:v>
      </x:c>
      <x:c r="G44" s="76" t="str">
        <x:v>Auto assign</x:v>
      </x:c>
    </x:row>
    <x:row r="45" ht="34" customHeight="1">
      <x:c r="A45" s="76" t="str">
        <x:v>Todays Collection Board</x:v>
      </x:c>
      <x:c r="B45" s="76" t="str">
        <x:v>Borrowers</x:v>
      </x:c>
      <x:c r="C45" s="76" t="n">
        <x:v>8</x:v>
      </x:c>
      <x:c r="D45" s="76" t="str">
        <x:v>Todays Amount Remaining</x:v>
      </x:c>
      <x:c r="E45" s="76" t="str">
        <x:v>ISNOTBLANK([Daily Collection Status])</x:v>
      </x:c>
      <x:c r="F45" s="76" t="str">
        <x:v>Read-only</x:v>
      </x:c>
      <x:c r="G45" s="76" t="str">
        <x:v>Auto assign</x:v>
      </x:c>
    </x:row>
    <x:row r="46" ht="34" customHeight="1">
      <x:c r="A46" s="76" t="str">
        <x:v>Todays Collection Board</x:v>
      </x:c>
      <x:c r="B46" s="76" t="str">
        <x:v>Borrowers</x:v>
      </x:c>
      <x:c r="C46" s="76" t="n">
        <x:v>9</x:v>
      </x:c>
      <x:c r="D46" s="76" t="str">
        <x:v>Todays Collection Charges</x:v>
      </x:c>
      <x:c r="E46" s="76" t="str">
        <x:v>ISNOTBLANK([Daily Collection Status])</x:v>
      </x:c>
      <x:c r="F46" s="76" t="str">
        <x:v>Read-only</x:v>
      </x:c>
      <x:c r="G46" s="76" t="str">
        <x:v>Auto assign</x:v>
      </x:c>
    </x:row>
    <x:row r="47" ht="34" customHeight="1">
      <x:c r="A47" s="76" t="str">
        <x:v>Todays Collection Board</x:v>
      </x:c>
      <x:c r="B47" s="76" t="str">
        <x:v>Borrowers</x:v>
      </x:c>
      <x:c r="C47" s="76" t="n">
        <x:v>10</x:v>
      </x:c>
      <x:c r="D47" s="76" t="str">
        <x:v>Borrower Name - Collection</x:v>
      </x:c>
      <x:c r="E47" s="76" t="str">
        <x:v>ISNOTBLANK([Daily Collection Status])</x:v>
      </x:c>
      <x:c r="F47" s="76" t="str">
        <x:v>Read-only</x:v>
      </x:c>
      <x:c r="G47" s="76" t="str">
        <x:v>Auto assign</x:v>
      </x:c>
    </x:row>
    <x:row r="48" ht="34" customHeight="1">
      <x:c r="A48" s="76" t="str">
        <x:v>Todays Collection Board</x:v>
      </x:c>
      <x:c r="B48" s="76" t="str">
        <x:v>Borrowers</x:v>
      </x:c>
      <x:c r="C48" s="76" t="n">
        <x:v>11</x:v>
      </x:c>
      <x:c r="D48" s="76" t="str">
        <x:v>Hidden Flag</x:v>
      </x:c>
      <x:c r="E48" s="76" t="str">
        <x:v>ISNOTBLANK([Daily Collection Status])</x:v>
      </x:c>
      <x:c r="F48" s="76" t="str">
        <x:v>Read-only</x:v>
      </x:c>
      <x:c r="G48" s="76" t="str">
        <x:v>Auto assign</x:v>
      </x:c>
    </x:row>
    <x:row r="49" ht="34" customHeight="1">
      <x:c r="A49" s="76" t="str">
        <x:v>Todays Collection Board</x:v>
      </x:c>
      <x:c r="B49" s="76" t="str">
        <x:v>Borrowers</x:v>
      </x:c>
      <x:c r="C49" s="76" t="n">
        <x:v>12</x:v>
      </x:c>
      <x:c r="D49" s="76" t="str">
        <x:v>Related Payments</x:v>
      </x:c>
      <x:c r="E49" s="76" t="str">
        <x:v>ISNOTBLANK([Daily Collection Status])</x:v>
      </x:c>
      <x:c r="F49" s="76" t="str">
        <x:v>Read-only</x:v>
      </x:c>
      <x:c r="G49" s="76" t="str">
        <x:v>Auto assign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d207440a7594911"/>
  </x:tableParts>
</x:worksheet>
</file>