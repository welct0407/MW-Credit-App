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8e7a945cd0f4b7a" /></Relationships>
</file>

<file path=xl/workbook.xml><?xml version="1.0" encoding="utf-8"?>
<x:workbook xmlns:x="http://schemas.openxmlformats.org/spreadsheetml/2006/main">
  <x:sheets>
    <x:sheet xmlns:r="http://schemas.openxmlformats.org/officeDocument/2006/relationships" name="README" sheetId="1" r:id="R3d044635575d49ad"/>
    <x:sheet xmlns:r="http://schemas.openxmlformats.org/officeDocument/2006/relationships" name="Tables" sheetId="2" r:id="R9e0e925f277646cb"/>
    <x:sheet xmlns:r="http://schemas.openxmlformats.org/officeDocument/2006/relationships" name="Columns" sheetId="3" r:id="R512c3953498d43c7"/>
    <x:sheet xmlns:r="http://schemas.openxmlformats.org/officeDocument/2006/relationships" name="Relationships" sheetId="4" r:id="Rbb484d2217ed4b4e"/>
    <x:sheet xmlns:r="http://schemas.openxmlformats.org/officeDocument/2006/relationships" name="Slices" sheetId="5" r:id="R033c40c929f0492f"/>
    <x:sheet xmlns:r="http://schemas.openxmlformats.org/officeDocument/2006/relationships" name="Slice Columns" sheetId="6" r:id="Ra06691d298504004"/>
    <x:sheet xmlns:r="http://schemas.openxmlformats.org/officeDocument/2006/relationships" name="App Variances" sheetId="7" r:id="R7e91cc387d9a4ddf"/>
    <x:sheet xmlns:r="http://schemas.openxmlformats.org/officeDocument/2006/relationships" name="Change Log" sheetId="8" r:id="Rea21f87d975c49d7"/>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164" formatCode="yyyy-mm-dd"/>
  </x:numFmts>
  <x:fonts count="7">
    <x:font>
      <x:sz val="11"/>
      <x:name val="Carlito"/>
    </x:font>
    <x:font>
      <x:b/>
      <x:sz val="16"/>
      <x:color rgb="FFFFFFFF"/>
      <x:name val="Carlito"/>
    </x:font>
    <x:font>
      <x:i/>
      <x:sz val="10"/>
      <x:color rgb="FF667085"/>
      <x:name val="Carlito"/>
    </x:font>
    <x:font>
      <x:b/>
      <x:sz val="11"/>
      <x:color rgb="FFFFFFFF"/>
      <x:name val="Carlito"/>
    </x:font>
    <x:font>
      <x:b/>
      <x:sz val="11"/>
      <x:color rgb="FF17365D"/>
      <x:name val="Carlito"/>
    </x:font>
    <x:font>
      <x:b/>
      <x:sz val="11"/>
      <x:color rgb="FF172B3A"/>
      <x:name val="Carlito"/>
    </x:font>
    <x:font>
      <x:sz val="9"/>
      <x:color rgb="FF172B3A"/>
      <x:name val="Carlito"/>
    </x:font>
  </x:fonts>
  <x:fills count="6">
    <x:fill>
      <x:patternFill patternType="none"/>
    </x:fill>
    <x:fill>
      <x:patternFill patternType="gray125"/>
    </x:fill>
    <x:fill>
      <x:patternFill patternType="solid">
        <x:fgColor rgb="FF17365D"/>
      </x:patternFill>
    </x:fill>
    <x:fill>
      <x:patternFill patternType="solid">
        <x:fgColor rgb="FFF3F6F9"/>
      </x:patternFill>
    </x:fill>
    <x:fill>
      <x:patternFill patternType="solid">
        <x:fgColor rgb="FF2F75B5"/>
      </x:patternFill>
    </x:fill>
    <x:fill>
      <x:patternFill patternType="solid">
        <x:fgColor rgb="FFFFF2CC"/>
      </x:patternFill>
    </x:fill>
  </x:fills>
  <x:borders count="16">
    <x:border/>
    <x:border>
      <x:left style="thin">
        <x:color rgb="FFC9D3DD"/>
      </x:left>
      <x:right style="thin">
        <x:color rgb="FFC9D3DD"/>
      </x:right>
      <x:top style="thin">
        <x:color rgb="FFC9D3DD"/>
      </x:top>
      <x:bottom style="thin">
        <x:color rgb="FFC9D3DD"/>
      </x:bottom>
    </x:border>
    <x:border>
      <x:left style="thin">
        <x:color rgb="FFC9A227"/>
      </x:left>
      <x:top style="thin">
        <x:color rgb="FFC9A227"/>
      </x:top>
    </x:border>
    <x:border>
      <x:top style="thin">
        <x:color rgb="FFC9A227"/>
      </x:top>
    </x:border>
    <x:border>
      <x:right style="thin">
        <x:color rgb="FFC9A227"/>
      </x:right>
      <x:top style="thin">
        <x:color rgb="FFC9A227"/>
      </x:top>
    </x:border>
    <x:border>
      <x:left style="thin">
        <x:color rgb="FFC9A227"/>
      </x:left>
    </x:border>
    <x:border>
      <x:right style="thin">
        <x:color rgb="FFC9A227"/>
      </x:right>
    </x:border>
    <x:border>
      <x:left style="thin">
        <x:color rgb="FFC9A227"/>
      </x:left>
      <x:bottom style="thin">
        <x:color rgb="FFC9A227"/>
      </x:bottom>
    </x:border>
    <x:border>
      <x:bottom style="thin">
        <x:color rgb="FFC9A227"/>
      </x:bottom>
    </x:border>
    <x:border>
      <x:right style="thin">
        <x:color rgb="FFC9A227"/>
      </x:right>
      <x:bottom style="thin">
        <x:color rgb="FFC9A227"/>
      </x:bottom>
    </x:border>
    <x:border>
      <x:left style="thin">
        <x:color rgb="FF17365D"/>
      </x:left>
      <x:top style="thin">
        <x:color rgb="FF17365D"/>
      </x:top>
      <x:bottom style="thin">
        <x:color rgb="FF17365D"/>
      </x:bottom>
    </x:border>
    <x:border>
      <x:top style="thin">
        <x:color rgb="FF17365D"/>
      </x:top>
      <x:bottom style="thin">
        <x:color rgb="FF17365D"/>
      </x:bottom>
    </x:border>
    <x:border>
      <x:right style="thin">
        <x:color rgb="FF17365D"/>
      </x:right>
      <x:top style="thin">
        <x:color rgb="FF17365D"/>
      </x:top>
      <x:bottom style="thin">
        <x:color rgb="FF17365D"/>
      </x:bottom>
    </x:border>
    <x:border>
      <x:bottom style="thin">
        <x:color rgb="FFC9D3DD"/>
      </x:bottom>
    </x:border>
    <x:border>
      <x:top style="thin">
        <x:color rgb="FFC9D3DD"/>
      </x:top>
      <x:bottom style="thin">
        <x:color rgb="FFC9D3DD"/>
      </x:bottom>
    </x:border>
    <x:border>
      <x:left style="thin">
        <x:color rgb="FFC9A227"/>
      </x:left>
      <x:right style="thin">
        <x:color rgb="FFC9A227"/>
      </x:right>
      <x:top style="thin">
        <x:color rgb="FFC9A227"/>
      </x:top>
      <x:bottom style="thin">
        <x:color rgb="FFC9A227"/>
      </x:bottom>
    </x:border>
  </x:borders>
  <x:cellStyleXfs count="1">
    <x:xf numFmtId="0" fontId="0" fillId="0" borderId="0"/>
  </x:cellStyleXfs>
  <x:cellXfs count="71">
    <x:xf numFmtId="0" fontId="0" fillId="0" borderId="0" xfId="0"/>
    <x:xf numFmtId="0" fontId="0" fillId="2" borderId="0" xfId="0"/>
    <x:xf numFmtId="0" fontId="1" fillId="2" borderId="0" xfId="0"/>
    <x:xf numFmtId="0" fontId="1" fillId="2" borderId="0" xfId="0" applyAlignment="1">
      <x:alignment vertical="center"/>
    </x:xf>
    <x:xf numFmtId="0" fontId="0" fillId="3" borderId="0" xfId="0"/>
    <x:xf numFmtId="0" fontId="2" fillId="3" borderId="0" xfId="0"/>
    <x:xf numFmtId="0" fontId="2" fillId="3" borderId="0" xfId="0" applyAlignment="1">
      <x:alignment wrapText="1"/>
    </x:xf>
    <x:xf numFmtId="0" fontId="2" fillId="3" borderId="0" xfId="0" applyAlignment="1">
      <x:alignment vertical="center" wrapText="1"/>
    </x:xf>
    <x:xf numFmtId="0" fontId="0" fillId="4" borderId="0" xfId="0"/>
    <x:xf numFmtId="0" fontId="3" fillId="4" borderId="0" xfId="0"/>
    <x:xf numFmtId="0" fontId="4" fillId="3" borderId="0" xfId="0"/>
    <x:xf numFmtId="0" fontId="3" fillId="4" borderId="1" xfId="0"/>
    <x:xf numFmtId="0" fontId="4" fillId="3" borderId="1" xfId="0"/>
    <x:xf numFmtId="0" fontId="0" fillId="0" borderId="1" xfId="0"/>
    <x:xf numFmtId="0" fontId="0" fillId="0" borderId="1" xfId="0" applyAlignment="1">
      <x:alignment wrapText="1"/>
    </x:xf>
    <x:xf numFmtId="0" fontId="4" fillId="3" borderId="1" xfId="0" applyAlignment="1">
      <x:alignment wrapText="1"/>
    </x:xf>
    <x:xf numFmtId="0" fontId="0" fillId="5" borderId="0" xfId="0"/>
    <x:xf numFmtId="0" fontId="5" fillId="5" borderId="0" xfId="0"/>
    <x:xf numFmtId="0" fontId="5" fillId="5" borderId="2" xfId="0"/>
    <x:xf numFmtId="0" fontId="5" fillId="5" borderId="3" xfId="0"/>
    <x:xf numFmtId="0" fontId="5" fillId="5" borderId="4" xfId="0"/>
    <x:xf numFmtId="0" fontId="5" fillId="5" borderId="5" xfId="0"/>
    <x:xf numFmtId="0" fontId="5" fillId="5" borderId="6" xfId="0"/>
    <x:xf numFmtId="0" fontId="5" fillId="5" borderId="7" xfId="0"/>
    <x:xf numFmtId="0" fontId="5" fillId="5" borderId="8" xfId="0"/>
    <x:xf numFmtId="0" fontId="5" fillId="5" borderId="9" xfId="0"/>
    <x:xf numFmtId="0" fontId="5" fillId="5" borderId="2" xfId="0" applyAlignment="1">
      <x:alignment wrapText="1"/>
    </x:xf>
    <x:xf numFmtId="0" fontId="5" fillId="5" borderId="3" xfId="0" applyAlignment="1">
      <x:alignment wrapText="1"/>
    </x:xf>
    <x:xf numFmtId="0" fontId="5" fillId="5" borderId="4" xfId="0" applyAlignment="1">
      <x:alignment wrapText="1"/>
    </x:xf>
    <x:xf numFmtId="0" fontId="5" fillId="5" borderId="5" xfId="0" applyAlignment="1">
      <x:alignment wrapText="1"/>
    </x:xf>
    <x:xf numFmtId="0" fontId="5" fillId="5" borderId="0" xfId="0" applyAlignment="1">
      <x:alignment wrapText="1"/>
    </x:xf>
    <x:xf numFmtId="0" fontId="5" fillId="5" borderId="6" xfId="0" applyAlignment="1">
      <x:alignment wrapText="1"/>
    </x:xf>
    <x:xf numFmtId="0" fontId="5" fillId="5" borderId="7" xfId="0" applyAlignment="1">
      <x:alignment wrapText="1"/>
    </x:xf>
    <x:xf numFmtId="0" fontId="5" fillId="5" borderId="8" xfId="0" applyAlignment="1">
      <x:alignment wrapText="1"/>
    </x:xf>
    <x:xf numFmtId="0" fontId="5" fillId="5" borderId="9" xfId="0" applyAlignment="1">
      <x:alignment wrapText="1"/>
    </x:xf>
    <x:xf numFmtId="0" fontId="5" fillId="5" borderId="2" xfId="0" applyAlignment="1">
      <x:alignment vertical="center" wrapText="1"/>
    </x:xf>
    <x:xf numFmtId="0" fontId="5" fillId="5" borderId="3" xfId="0" applyAlignment="1">
      <x:alignment vertical="center" wrapText="1"/>
    </x:xf>
    <x:xf numFmtId="0" fontId="5" fillId="5" borderId="4" xfId="0" applyAlignment="1">
      <x:alignment vertical="center" wrapText="1"/>
    </x:xf>
    <x:xf numFmtId="0" fontId="5" fillId="5" borderId="5" xfId="0" applyAlignment="1">
      <x:alignment vertical="center" wrapText="1"/>
    </x:xf>
    <x:xf numFmtId="0" fontId="5" fillId="5" borderId="0" xfId="0" applyAlignment="1">
      <x:alignment vertical="center" wrapText="1"/>
    </x:xf>
    <x:xf numFmtId="0" fontId="5" fillId="5" borderId="6" xfId="0" applyAlignment="1">
      <x:alignment vertical="center" wrapText="1"/>
    </x:xf>
    <x:xf numFmtId="0" fontId="5" fillId="5" borderId="7" xfId="0" applyAlignment="1">
      <x:alignment vertical="center" wrapText="1"/>
    </x:xf>
    <x:xf numFmtId="0" fontId="5" fillId="5" borderId="8" xfId="0" applyAlignment="1">
      <x:alignment vertical="center" wrapText="1"/>
    </x:xf>
    <x:xf numFmtId="0" fontId="5" fillId="5" borderId="9" xfId="0" applyAlignment="1">
      <x:alignment vertical="center" wrapText="1"/>
    </x:xf>
    <x:xf numFmtId="0" fontId="3" fillId="4" borderId="10" xfId="0"/>
    <x:xf numFmtId="0" fontId="3" fillId="4" borderId="11" xfId="0"/>
    <x:xf numFmtId="0" fontId="3" fillId="4" borderId="12" xfId="0"/>
    <x:xf numFmtId="0" fontId="3" fillId="4" borderId="10" xfId="0" applyAlignment="1">
      <x:alignment wrapText="1"/>
    </x:xf>
    <x:xf numFmtId="0" fontId="3" fillId="4" borderId="11" xfId="0" applyAlignment="1">
      <x:alignment wrapText="1"/>
    </x:xf>
    <x:xf numFmtId="0" fontId="3" fillId="4" borderId="12" xfId="0" applyAlignment="1">
      <x:alignment wrapText="1"/>
    </x:xf>
    <x:xf numFmtId="0" fontId="3" fillId="4" borderId="10" xfId="0" applyAlignment="1">
      <x:alignment vertical="center" wrapText="1"/>
    </x:xf>
    <x:xf numFmtId="0" fontId="3" fillId="4" borderId="11" xfId="0" applyAlignment="1">
      <x:alignment vertical="center" wrapText="1"/>
    </x:xf>
    <x:xf numFmtId="0" fontId="3" fillId="4" borderId="12" xfId="0" applyAlignment="1">
      <x:alignment vertical="center" wrapText="1"/>
    </x:xf>
    <x:xf numFmtId="0" fontId="6" fillId="0" borderId="0" xfId="0"/>
    <x:xf numFmtId="0" fontId="6" fillId="0" borderId="13" xfId="0"/>
    <x:xf numFmtId="0" fontId="6" fillId="0" borderId="14" xfId="0"/>
    <x:xf numFmtId="0" fontId="6" fillId="0" borderId="13" xfId="0" applyAlignment="1">
      <x:alignment vertical="top"/>
    </x:xf>
    <x:xf numFmtId="0" fontId="6" fillId="0" borderId="14" xfId="0" applyAlignment="1">
      <x:alignment vertical="top"/>
    </x:xf>
    <x:xf numFmtId="0" fontId="6" fillId="0" borderId="13" xfId="0" applyAlignment="1">
      <x:alignment vertical="top" wrapText="1"/>
    </x:xf>
    <x:xf numFmtId="0" fontId="6" fillId="0" borderId="14" xfId="0" applyAlignment="1">
      <x:alignment vertical="top" wrapText="1"/>
    </x:xf>
    <x:xf numFmtId="164" fontId="6" fillId="0" borderId="13" xfId="0" applyAlignment="1">
      <x:alignment vertical="top"/>
    </x:xf>
    <x:xf numFmtId="164" fontId="0" fillId="0" borderId="0" xfId="0"/>
    <x:xf numFmtId="0" fontId="5" fillId="5" borderId="15" xfId="0" applyAlignment="1">
      <x:alignment vertical="center" wrapText="1"/>
    </x:xf>
    <x:xf numFmtId="0" fontId="0" fillId="0" borderId="3" xfId="0"/>
    <x:xf numFmtId="0" fontId="0" fillId="0" borderId="4" xfId="0"/>
    <x:xf numFmtId="0" fontId="0" fillId="0" borderId="5" xfId="0"/>
    <x:xf numFmtId="0" fontId="0" fillId="0" borderId="6" xfId="0"/>
    <x:xf numFmtId="0" fontId="0" fillId="0" borderId="7" xfId="0"/>
    <x:xf numFmtId="0" fontId="0" fillId="0" borderId="8" xfId="0"/>
    <x:xf numFmtId="0" fontId="0" fillId="0" borderId="9" xfId="0"/>
    <x:xf numFmtId="164" fontId="6" fillId="0" borderId="13" xfId="0" applyAlignment="1">
      <x:alignment vertical="top"/>
    </x:xf>
  </x:cellXfs>
  <x:cellStyles count="1">
    <x:cellStyle name="Normal" xfId="0"/>
  </x:cellStyles>
  <x:dxfs count="4">
    <x:dxf>
      <x:font>
        <x:color rgb="FF17365D"/>
      </x:font>
      <x:fill>
        <x:patternFill>
          <x:bgColor rgb="FFD9EAF7"/>
        </x:patternFill>
      </x:fill>
    </x:dxf>
    <x:dxf>
      <x:font>
        <x:color rgb="FF7F6000"/>
      </x:font>
      <x:fill>
        <x:patternFill>
          <x:bgColor rgb="FFFFF2CC"/>
        </x:patternFill>
      </x:fill>
    </x:dxf>
    <x:dxf>
      <x:font>
        <x:color rgb="FF9C0006"/>
      </x:font>
      <x:fill>
        <x:patternFill>
          <x:bgColor rgb="FFFCE4D6"/>
        </x:patternFill>
      </x:fill>
    </x:dxf>
    <x:dxf>
      <x:font>
        <x:b/>
        <x:color rgb="FF7F6000"/>
      </x:font>
      <x:fill>
        <x:patternFill>
          <x:bgColor rgb="FFFFF2CC"/>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670552799ef342c0" /><Relationship Type="http://schemas.openxmlformats.org/officeDocument/2006/relationships/theme" Target="/xl/theme/theme1.xml" Id="R73b7907499354a9a" /><Relationship Type="http://schemas.openxmlformats.org/officeDocument/2006/relationships/sharedStrings" Target="/xl/sharedStrings.xml" Id="R7bc2036f44c54cfd" /><Relationship Type="http://schemas.openxmlformats.org/officeDocument/2006/relationships/worksheet" Target="/xl/worksheets/sheet1.xml" Id="R3d044635575d49ad" /><Relationship Type="http://schemas.openxmlformats.org/officeDocument/2006/relationships/worksheet" Target="/xl/worksheets/sheet2.xml" Id="R9e0e925f277646cb" /><Relationship Type="http://schemas.openxmlformats.org/officeDocument/2006/relationships/worksheet" Target="/xl/worksheets/sheet3.xml" Id="R512c3953498d43c7" /><Relationship Type="http://schemas.openxmlformats.org/officeDocument/2006/relationships/worksheet" Target="/xl/worksheets/sheet4.xml" Id="Rbb484d2217ed4b4e" /><Relationship Type="http://schemas.openxmlformats.org/officeDocument/2006/relationships/worksheet" Target="/xl/worksheets/sheet5.xml" Id="R033c40c929f0492f" /><Relationship Type="http://schemas.openxmlformats.org/officeDocument/2006/relationships/worksheet" Target="/xl/worksheets/sheet6.xml" Id="Ra06691d298504004" /><Relationship Type="http://schemas.openxmlformats.org/officeDocument/2006/relationships/worksheet" Target="/xl/worksheets/sheet7.xml" Id="R7e91cc387d9a4ddf" /><Relationship Type="http://schemas.openxmlformats.org/officeDocument/2006/relationships/worksheet" Target="/xl/worksheets/sheet8.xml" Id="Rea21f87d975c49d7" /></Relationships>
</file>

<file path=xl/tables/table1.xml><?xml version="1.0" encoding="utf-8"?>
<x:table xmlns:x="http://schemas.openxmlformats.org/spreadsheetml/2006/main" id="1" name="DataModelTables" displayName="DataModelTables" ref="A4:G15" headerRowCount="1" totalsRowCount="0" totalsRowShown="0">
  <x:autoFilter ref="A4:G15"/>
  <x:tableColumns count="7">
    <x:tableColumn id="1" name="Table"/>
    <x:tableColumn id="2" name="Source"/>
    <x:tableColumn id="3" name="Loaded in"/>
    <x:tableColumn id="4" name="Physical"/>
    <x:tableColumn id="5" name="OLTP VCs"/>
    <x:tableColumn id="6" name="OLAP VCs"/>
    <x:tableColumn id="7" name="Purpose"/>
  </x:tableColumns>
  <x:tableStyleInfo name="TableStyleMedium2" showFirstColumn="0" showLastColumn="0" showRowStripes="1" showColumnStripes="0"/>
</x:table>
</file>

<file path=xl/tables/table2.xml><?xml version="1.0" encoding="utf-8"?>
<x:table xmlns:x="http://schemas.openxmlformats.org/spreadsheetml/2006/main" id="2" name="DataModelColumns" displayName="DataModelColumns" ref="A4:H309" headerRowCount="1" totalsRowCount="0" totalsRowShown="0">
  <x:autoFilter ref="A4:H309"/>
  <x:tableColumns count="8">
    <x:tableColumn id="1" name="Table"/>
    <x:tableColumn id="2" name="Column Order"/>
    <x:tableColumn id="3" name="Column"/>
    <x:tableColumn id="4" name="Kind / type"/>
    <x:tableColumn id="5" name="Availability"/>
    <x:tableColumn id="6" name="Flags"/>
    <x:tableColumn id="7" name="Purpose"/>
    <x:tableColumn id="8" name="Definition / expression"/>
  </x:tableColumns>
  <x:tableStyleInfo name="TableStyleMedium2" showFirstColumn="0" showLastColumn="0" showRowStripes="1" showColumnStripes="0"/>
</x:table>
</file>

<file path=xl/tables/table3.xml><?xml version="1.0" encoding="utf-8"?>
<x:table xmlns:x="http://schemas.openxmlformats.org/spreadsheetml/2006/main" id="3" name="DataModelRelationships" displayName="DataModelRelationships" ref="A4:E12" headerRowCount="1" totalsRowCount="0" totalsRowShown="0">
  <x:autoFilter ref="A4:E12"/>
  <x:tableColumns count="5">
    <x:tableColumn id="1" name="Child table"/>
    <x:tableColumn id="2" name="Ref column"/>
    <x:tableColumn id="3" name="Parent table"/>
    <x:tableColumn id="4" name="Cardinality"/>
    <x:tableColumn id="5" name="Is a part of?"/>
  </x:tableColumns>
  <x:tableStyleInfo name="TableStyleMedium2" showFirstColumn="0" showLastColumn="0" showRowStripes="1" showColumnStripes="0"/>
</x:table>
</file>

<file path=xl/tables/table4.xml><?xml version="1.0" encoding="utf-8"?>
<x:table xmlns:x="http://schemas.openxmlformats.org/spreadsheetml/2006/main" id="4" name="DataModelSlices" displayName="DataModelSlices" ref="A4:H17" headerRowCount="1" totalsRowCount="0" totalsRowShown="0">
  <x:tableColumns count="8">
    <x:tableColumn id="1" name="App"/>
    <x:tableColumn id="2" name="Slice"/>
    <x:tableColumn id="3" name="Source"/>
    <x:tableColumn id="4" name="Row Filter"/>
    <x:tableColumn id="5" name="Update Mode"/>
    <x:tableColumn id="6" name="Column Count"/>
    <x:tableColumn id="7" name="Purpose"/>
    <x:tableColumn id="8" name="Comment"/>
  </x:tableColumns>
  <x:tableStyleInfo name="TableStyleMedium2" showFirstColumn="0" showLastColumn="0" showRowStripes="1" showColumnStripes="0"/>
</x:table>
</file>

<file path=xl/tables/table5.xml><?xml version="1.0" encoding="utf-8"?>
<x:table xmlns:x="http://schemas.openxmlformats.org/spreadsheetml/2006/main" id="5" name="DataModelSliceColumns" displayName="DataModelSliceColumns" ref="A4:D357" headerRowCount="1" totalsRowCount="0" totalsRowShown="0">
  <x:tableColumns count="4">
    <x:tableColumn id="1" name="App"/>
    <x:tableColumn id="2" name="Slice"/>
    <x:tableColumn id="3" name="Column Order"/>
    <x:tableColumn id="4" name="Column"/>
  </x:tableColumns>
  <x:tableStyleInfo name="TableStyleMedium2" showFirstColumn="0" showLastColumn="0" showRowStripes="1" showColumnStripes="0"/>
</x:table>
</file>

<file path=xl/tables/table6.xml><?xml version="1.0" encoding="utf-8"?>
<x:table xmlns:x="http://schemas.openxmlformats.org/spreadsheetml/2006/main" id="6" name="DataModelAppVariances" displayName="DataModelAppVariances" ref="A4:F185" headerRowCount="1" totalsRowCount="0" totalsRowShown="0">
  <x:autoFilter ref="A4:F185"/>
  <x:tableColumns count="6">
    <x:tableColumn id="1" name="Object Type"/>
    <x:tableColumn id="2" name="Table"/>
    <x:tableColumn id="3" name="Object"/>
    <x:tableColumn id="4" name="OLTP Presence"/>
    <x:tableColumn id="5" name="OLAP Presence"/>
    <x:tableColumn id="6" name="Notes"/>
  </x:tableColumns>
  <x:tableStyleInfo name="TableStyleMedium2" showFirstColumn="0" showLastColumn="0" showRowStripes="1" showColumnStripes="0"/>
</x:table>
</file>

<file path=xl/tables/table7.xml><?xml version="1.0" encoding="utf-8"?>
<x:table xmlns:x="http://schemas.openxmlformats.org/spreadsheetml/2006/main" id="7" name="DataModelChangeLog" displayName="DataModelChangeLog" ref="A4:I5" headerRowCount="1" totalsRowCount="0" totalsRowShown="0">
  <x:autoFilter ref="A4:I5"/>
  <x:tableColumns count="9">
    <x:tableColumn id="1" name="Date"/>
    <x:tableColumn id="2" name="Artifact"/>
    <x:tableColumn id="3" name="Object Type"/>
    <x:tableColumn id="4" name="Object Name"/>
    <x:tableColumn id="5" name="Change Type"/>
    <x:tableColumn id="6" name="Summary"/>
    <x:tableColumn id="7" name="Source Baseline"/>
    <x:tableColumn id="8" name="Reconciled with AppSheet?"/>
    <x:tableColumn id="9" name="Updated B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f5788544a3e42b7" /></Relationships>
</file>

<file path=xl/worksheets/_rels/sheet3.xml.rels>&#65279;<?xml version="1.0" encoding="utf-8"?><Relationships xmlns="http://schemas.openxmlformats.org/package/2006/relationships"><Relationship Type="http://schemas.openxmlformats.org/officeDocument/2006/relationships/table" Target="/xl/tables/table2.xml" Id="Rea9592ba42cd4cb4" /></Relationships>
</file>

<file path=xl/worksheets/_rels/sheet4.xml.rels>&#65279;<?xml version="1.0" encoding="utf-8"?><Relationships xmlns="http://schemas.openxmlformats.org/package/2006/relationships"><Relationship Type="http://schemas.openxmlformats.org/officeDocument/2006/relationships/table" Target="/xl/tables/table3.xml" Id="R55195301a0544cc0" /></Relationships>
</file>

<file path=xl/worksheets/_rels/sheet5.xml.rels>&#65279;<?xml version="1.0" encoding="utf-8"?><Relationships xmlns="http://schemas.openxmlformats.org/package/2006/relationships"><Relationship Type="http://schemas.openxmlformats.org/officeDocument/2006/relationships/table" Target="/xl/tables/table4.xml" Id="Rcc187d66dc444590" /></Relationships>
</file>

<file path=xl/worksheets/_rels/sheet6.xml.rels>&#65279;<?xml version="1.0" encoding="utf-8"?><Relationships xmlns="http://schemas.openxmlformats.org/package/2006/relationships"><Relationship Type="http://schemas.openxmlformats.org/officeDocument/2006/relationships/table" Target="/xl/tables/table5.xml" Id="R887ed44da90c4568" /></Relationships>
</file>

<file path=xl/worksheets/_rels/sheet7.xml.rels>&#65279;<?xml version="1.0" encoding="utf-8"?><Relationships xmlns="http://schemas.openxmlformats.org/package/2006/relationships"><Relationship Type="http://schemas.openxmlformats.org/officeDocument/2006/relationships/table" Target="/xl/tables/table6.xml" Id="R5e2b031e03414460" /></Relationships>
</file>

<file path=xl/worksheets/_rels/sheet8.xml.rels>&#65279;<?xml version="1.0" encoding="utf-8"?><Relationships xmlns="http://schemas.openxmlformats.org/package/2006/relationships"><Relationship Type="http://schemas.openxmlformats.org/officeDocument/2006/relationships/table" Target="/xl/tables/table7.xml" Id="R7390666fa0184da8" /></Relationships>
</file>

<file path=xl/worksheets/sheet1.xml><?xml version="1.0" encoding="utf-8"?>
<x:worksheet xmlns:x="http://schemas.openxmlformats.org/spreadsheetml/2006/main">
  <x:sheetViews>
    <x:sheetView showGridLines="0" workbookViewId="0"/>
  </x:sheetViews>
  <x:sheetFormatPr baseColWidth="8" defaultRowHeight="15"/>
  <x:cols>
    <x:col min="1" max="1" width="24" customWidth="1"/>
    <x:col min="2" max="2" width="76" customWidth="1"/>
    <x:col min="3" max="3" width="14" customWidth="1"/>
    <x:col min="4" max="4" width="14" customWidth="1"/>
    <x:col min="5" max="5" width="14" customWidth="1"/>
    <x:col min="6" max="6" width="14" customWidth="1"/>
  </x:cols>
  <x:sheetData>
    <x:row r="1" ht="30" customHeight="1">
      <x:c r="A1" s="3" t="inlineStr">
        <x:is>
          <x:t xml:space="preserve">AppSheet Data Dictionary</x:t>
        </x:is>
      </x:c>
    </x:row>
    <x:row r="2" ht="30" customHeight="1">
      <x:c r="A2" s="7" t="inlineStr">
        <x:is>
          <x:t xml:space="preserve">Technical companion to AppSheet_Data_Model_Overview.md</x:t>
        </x:is>
      </x:c>
    </x:row>
    <x:row r="3"/>
    <x:row r="4">
      <x:c r="A4" s="11" t="inlineStr">
        <x:is>
          <x:t xml:space="preserve">Control</x:t>
        </x:is>
      </x:c>
      <x:c r="B4" s="11" t="inlineStr">
        <x:is>
          <x:t xml:space="preserve">Value</x:t>
        </x:is>
      </x:c>
    </x:row>
    <x:row r="5" ht="112" customHeight="1">
      <x:c r="A5" s="12" t="inlineStr">
        <x:is>
          <x:t xml:space="preserve">Reconciliation status</x:t>
        </x:is>
      </x:c>
      <x:c r="B5" s="14" t="str">
        <x:v>Reconciled with production OLTP v2.200109 and OLAP v1.000164 on 2026-09-01. OLTP Borrowers now includes the OLTP-only Active Profit After Principal Coverage VC, defined as Active Loan Interest Earned minus Total Outstanding Principal and shown only when Has Active Loan is true. Visible Borrowers includes all 32 OLTP Borrowers columns. The detail view places the metric between Active Loan Interest Earned and Return on Active Principal; positive values are green and negative values are orange. The prior pending-collection reconciliation remains in force, including the still-broad Statistics[Pending Payment Amount] formula.</x:v>
      </x:c>
    </x:row>
    <x:row r="6" ht="34" customHeight="1">
      <x:c r="A6" s="12" t="inlineStr">
        <x:is>
          <x:t xml:space="preserve">Live baselines</x:t>
        </x:is>
      </x:c>
      <x:c r="B6" s="14" t="str">
        <x:v>OLTP v2.200109 — Loan Manager ผู้จัดการสินเชื่อ — 93844270-6aa5-420b-a960-bcdf08abd357
OLAP v1.000164 — Loan Business Insights — e74dd368-654f-44d7-bccf-83cf361d1cdb</x:v>
      </x:c>
    </x:row>
    <x:row r="7" ht="15" customHeight="1">
      <x:c r="A7" s="12" t="inlineStr">
        <x:is>
          <x:t xml:space="preserve">Reconciliation date</x:t>
        </x:is>
      </x:c>
      <x:c r="B7" s="14" t="inlineStr">
        <x:is>
          <x:t xml:space="preserve">2026-09-01 (Asia/Singapore)</x:t>
        </x:is>
      </x:c>
    </x:row>
    <x:row r="8" ht="15" customHeight="1">
      <x:c r="A8" s="12" t="inlineStr">
        <x:is>
          <x:t xml:space="preserve">Tables</x:t>
        </x:is>
      </x:c>
      <x:c r="B8" s="14" t="n">
        <x:f>COUNTA('Tables'!A5:A100)</x:f>
        <x:v>11</x:v>
      </x:c>
    </x:row>
    <x:row r="9" ht="15" customHeight="1">
      <x:c r="A9" s="12" t="inlineStr">
        <x:is>
          <x:t xml:space="preserve">Columns</x:t>
        </x:is>
      </x:c>
      <x:c r="B9" s="14" t="n">
        <x:v>305</x:v>
      </x:c>
    </x:row>
    <x:row r="10" ht="15" customHeight="1">
      <x:c r="A10" s="12" t="inlineStr">
        <x:is>
          <x:t xml:space="preserve">Relationships</x:t>
        </x:is>
      </x:c>
      <x:c r="B10" s="14" t="n">
        <x:f>COUNTA('Relationships'!A5:A100)</x:f>
        <x:v>8</x:v>
      </x:c>
    </x:row>
    <x:row r="11" ht="15" customHeight="1">
      <x:c r="A11" s="12" t="inlineStr">
        <x:is>
          <x:t xml:space="preserve">Slices</x:t>
        </x:is>
      </x:c>
      <x:c r="B11" s="14" t="n">
        <x:v>13</x:v>
      </x:c>
    </x:row>
    <x:row r="14">
      <x:c r="A14" s="11" t="inlineStr">
        <x:is>
          <x:t xml:space="preserve">Worksheet</x:t>
        </x:is>
      </x:c>
      <x:c r="B14" s="11" t="inlineStr">
        <x:is>
          <x:t xml:space="preserve">Maintenance purpose</x:t>
        </x:is>
      </x:c>
    </x:row>
    <x:row r="15" ht="15" customHeight="1">
      <x:c r="A15" s="15" t="inlineStr">
        <x:is>
          <x:t xml:space="preserve">Tables</x:t>
        </x:is>
      </x:c>
      <x:c r="B15" s="14" t="inlineStr">
        <x:is>
          <x:t xml:space="preserve">One row per source table with loading scope, physical/VC counts, and purpose.</x:t>
        </x:is>
      </x:c>
    </x:row>
    <x:row r="16" ht="26.399999618530273" customHeight="1">
      <x:c r="A16" s="15" t="inlineStr">
        <x:is>
          <x:t xml:space="preserve">Columns</x:t>
        </x:is>
      </x:c>
      <x:c r="B16" s="14" t="inlineStr">
        <x:is>
          <x:t xml:space="preserve">One row per unioned column definition. Shared rows follow the OLAP order; OLTP-only columns are appended where necessary.</x:t>
        </x:is>
      </x:c>
    </x:row>
    <x:row r="17" ht="15" customHeight="1">
      <x:c r="A17" s="15" t="inlineStr">
        <x:is>
          <x:t xml:space="preserve">Relationships</x:t>
        </x:is>
      </x:c>
      <x:c r="B17" s="14" t="inlineStr">
        <x:is>
          <x:t xml:space="preserve">Direct Ref relationships and documented part-of behavior.</x:t>
        </x:is>
      </x:c>
    </x:row>
    <x:row r="18" ht="15" customHeight="1">
      <x:c r="A18" s="15" t="inlineStr">
        <x:is>
          <x:t xml:space="preserve">Slices</x:t>
        </x:is>
      </x:c>
      <x:c r="B18" s="14" t="inlineStr">
        <x:is>
          <x:t xml:space="preserve">Slice source, filter, update mode, purpose, and column count.</x:t>
        </x:is>
      </x:c>
    </x:row>
    <x:row r="19" ht="15" customHeight="1">
      <x:c r="A19" s="15" t="inlineStr">
        <x:is>
          <x:t xml:space="preserve">Slice Columns</x:t>
        </x:is>
      </x:c>
      <x:c r="B19" s="14" t="inlineStr">
        <x:is>
          <x:t xml:space="preserve">One row per included column, preserving slice column order.</x:t>
        </x:is>
      </x:c>
    </x:row>
    <x:row r="20" ht="15" customHeight="1">
      <x:c r="A20" s="15" t="inlineStr">
        <x:is>
          <x:t xml:space="preserve">App Variances</x:t>
        </x:is>
      </x:c>
      <x:c r="B20" s="14" t="inlineStr">
        <x:is>
          <x:t xml:space="preserve">Tables and columns present in only one app.</x:t>
        </x:is>
      </x:c>
    </x:row>
    <x:row r="21" ht="15" customHeight="1">
      <x:c r="A21" s="15" t="inlineStr">
        <x:is>
          <x:t xml:space="preserve">Change Log</x:t>
        </x:is>
      </x:c>
      <x:c r="B21" s="14" t="inlineStr">
        <x:is>
          <x:t xml:space="preserve">Reserved historical worksheet. Authoritative change history is maintained in Change Logs/*.md.</x:t>
        </x:is>
      </x:c>
    </x:row>
    <x:row r="22" ht="26.399999618530273" customHeight="1">
      <x:c r="A22" s="15" t="inlineStr">
        <x:is>
          <x:t xml:space="preserve">Maintenance rule</x:t>
        </x:is>
      </x:c>
      <x:c r="B22" s="14" t="inlineStr">
        <x:is>
          <x:t xml:space="preserve">For every model change, update this workbook, AppSheet_Data_Model_Overview.md, and a dated Markdown file in Change Logs/.</x:t>
        </x:is>
      </x:c>
    </x:row>
    <x:row r="24">
      <x:c r="A24" s="62" t="str">
        <x:v>Shared VC baseline: 82 VCs are present in both apps and the five daily-installment formula variances are resolved. Borrowers[Active Profit After Principal Coverage] and Borrowers[Hidden Flag] are OLTP-only. Loans[Daily Installment Base Principal] and the four Calendar schedule VCs are OLAP-only reporting helpers. Charges[Ref Loans] is OLTP-required; the OLAP Required flag was not changed or re-verified.</x:v>
      </x:c>
      <x:c r="B24" s="63" t="n"/>
      <x:c r="C24" s="63" t="n"/>
      <x:c r="D24" s="63" t="n"/>
      <x:c r="E24" s="63" t="n"/>
      <x:c r="F24" s="64" t="n"/>
    </x:row>
    <x:row r="25">
      <x:c r="A25" s="65" t="n"/>
      <x:c r="F25" s="66" t="n"/>
    </x:row>
    <x:row r="26">
      <x:c r="A26" s="67" t="n"/>
      <x:c r="B26" s="68" t="n"/>
      <x:c r="C26" s="68" t="n"/>
      <x:c r="D26" s="68" t="n"/>
      <x:c r="E26" s="68" t="n"/>
      <x:c r="F26" s="69" t="n"/>
    </x:row>
  </x:sheetData>
  <x:mergeCells>
    <x:mergeCell ref="A2:F2"/>
    <x:mergeCell ref="A1:F1"/>
    <x:mergeCell ref="A24:F26"/>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baseColWidth="8" defaultRowHeight="15"/>
  <x:cols>
    <x:col min="1" max="1" width="24" customWidth="1"/>
    <x:col min="2" max="2" width="28" customWidth="1"/>
    <x:col min="3" max="3" width="18" customWidth="1"/>
    <x:col min="4" max="4" width="12" customWidth="1"/>
    <x:col min="5" max="5" width="12" customWidth="1"/>
    <x:col min="6" max="6" width="12" customWidth="1"/>
    <x:col min="7" max="7" width="66" customWidth="1"/>
  </x:cols>
  <x:sheetData>
    <x:row r="1" ht="30" customHeight="1">
      <x:c r="A1" s="3" t="inlineStr">
        <x:is>
          <x:t xml:space="preserve">Tables</x:t>
        </x:is>
      </x:c>
    </x:row>
    <x:row r="2" ht="30" customHeight="1">
      <x:c r="A2" s="7" t="inlineStr">
        <x:is>
          <x:t xml:space="preserve">Source ownership, application loading, physical/virtual column counts, and table purpose.</x:t>
        </x:is>
      </x:c>
    </x:row>
    <x:row r="4" ht="30" customHeight="1">
      <x:c r="A4" s="50" t="inlineStr">
        <x:is>
          <x:t xml:space="preserve">Table</x:t>
        </x:is>
      </x:c>
      <x:c r="B4" s="51" t="inlineStr">
        <x:is>
          <x:t xml:space="preserve">Source</x:t>
        </x:is>
      </x:c>
      <x:c r="C4" s="51" t="inlineStr">
        <x:is>
          <x:t xml:space="preserve">Loaded in</x:t>
        </x:is>
      </x:c>
      <x:c r="D4" s="51" t="inlineStr">
        <x:is>
          <x:t xml:space="preserve">Physical</x:t>
        </x:is>
      </x:c>
      <x:c r="E4" s="51" t="inlineStr">
        <x:is>
          <x:t xml:space="preserve">OLTP VCs</x:t>
        </x:is>
      </x:c>
      <x:c r="F4" s="51" t="inlineStr">
        <x:is>
          <x:t xml:space="preserve">OLAP VCs</x:t>
        </x:is>
      </x:c>
      <x:c r="G4" s="52" t="inlineStr">
        <x:is>
          <x:t xml:space="preserve">Purpose</x:t>
        </x:is>
      </x:c>
    </x:row>
    <x:row r="5" ht="15" customHeight="1">
      <x:c r="A5" s="56" t="inlineStr">
        <x:is>
          <x:t xml:space="preserve">Borrowers</x:t>
        </x:is>
      </x:c>
      <x:c r="B5" s="58" t="inlineStr">
        <x:is>
          <x:t xml:space="preserve">Money database</x:t>
        </x:is>
      </x:c>
      <x:c r="C5" s="56" t="inlineStr">
        <x:is>
          <x:t xml:space="preserve">OLTP + OLAP</x:t>
        </x:is>
      </x:c>
      <x:c r="D5" s="56" t="inlineStr">
        <x:is>
          <x:t xml:space="preserve">7</x:t>
        </x:is>
      </x:c>
      <x:c r="E5" s="56" t="n">
        <x:v>25</x:v>
      </x:c>
      <x:c r="F5" s="56" t="inlineStr">
        <x:is>
          <x:t xml:space="preserve">50</x:t>
        </x:is>
      </x:c>
      <x:c r="G5" s="58" t="str">
        <x:v>Borrower master records and indicators; OLTP-only Hidden Flag and active principal-coverage VC.</x:v>
      </x:c>
    </x:row>
    <x:row r="6" ht="15" customHeight="1">
      <x:c r="A6" s="57" t="inlineStr">
        <x:is>
          <x:t xml:space="preserve">Calendar</x:t>
        </x:is>
      </x:c>
      <x:c r="B6" s="59" t="inlineStr">
        <x:is>
          <x:t xml:space="preserve">Calendar Help Table / Sheet1</x:t>
        </x:is>
      </x:c>
      <x:c r="C6" s="57" t="inlineStr">
        <x:is>
          <x:t xml:space="preserve">OLAP only</x:t>
        </x:is>
      </x:c>
      <x:c r="D6" s="57" t="inlineStr">
        <x:is>
          <x:t xml:space="preserve">2</x:t>
        </x:is>
      </x:c>
      <x:c r="E6" s="57" t="inlineStr">
        <x:is>
          <x:t xml:space="preserve">0</x:t>
        </x:is>
      </x:c>
      <x:c r="F6" s="57" t="n">
        <x:v>26</x:v>
      </x:c>
      <x:c r="G6" s="59" t="inlineStr">
        <x:is>
          <x:t xml:space="preserve">Google Sheets-backed date spine used by OLAP loan-assessment projections, including declining daily-installment principal and interest schedules.</x:t>
        </x:is>
      </x:c>
    </x:row>
    <x:row r="7" ht="15" customHeight="1">
      <x:c r="A7" s="57" t="inlineStr">
        <x:is>
          <x:t xml:space="preserve">Cash Pool Contributions</x:t>
        </x:is>
      </x:c>
      <x:c r="B7" s="59" t="inlineStr">
        <x:is>
          <x:t xml:space="preserve">Money database</x:t>
        </x:is>
      </x:c>
      <x:c r="C7" s="57" t="inlineStr">
        <x:is>
          <x:t xml:space="preserve">OLAP only</x:t>
        </x:is>
      </x:c>
      <x:c r="D7" s="57" t="inlineStr">
        <x:is>
          <x:t xml:space="preserve">7</x:t>
        </x:is>
      </x:c>
      <x:c r="E7" s="57" t="inlineStr">
        <x:is>
          <x:t xml:space="preserve">0</x:t>
        </x:is>
      </x:c>
      <x:c r="F7" s="57" t="inlineStr">
        <x:is>
          <x:t xml:space="preserve">2</x:t>
        </x:is>
      </x:c>
      <x:c r="G7" s="59" t="inlineStr">
        <x:is>
          <x:t xml:space="preserve">Partner capital-contribution movements that build the lendable cash pool.</x:t>
        </x:is>
      </x:c>
    </x:row>
    <x:row r="8" ht="15" customHeight="1">
      <x:c r="A8" s="57" t="inlineStr">
        <x:is>
          <x:t xml:space="preserve">Charges</x:t>
        </x:is>
      </x:c>
      <x:c r="B8" s="59" t="inlineStr">
        <x:is>
          <x:t xml:space="preserve">Money database</x:t>
        </x:is>
      </x:c>
      <x:c r="C8" s="57" t="inlineStr">
        <x:is>
          <x:t xml:space="preserve">OLTP + OLAP</x:t>
        </x:is>
      </x:c>
      <x:c r="D8" s="57" t="inlineStr">
        <x:is>
          <x:t xml:space="preserve">7</x:t>
        </x:is>
      </x:c>
      <x:c r="E8" s="57" t="inlineStr">
        <x:is>
          <x:t xml:space="preserve">15</x:t>
        </x:is>
      </x:c>
      <x:c r="F8" s="57" t="inlineStr">
        <x:is>
          <x:t xml:space="preserve">18</x:t>
        </x:is>
      </x:c>
      <x:c r="G8" s="59" t="inlineStr">
        <x:is>
          <x:t xml:space="preserve">Scheduled amounts due and collection state at charge level, including principal and interest allocation.</x:t>
        </x:is>
      </x:c>
    </x:row>
    <x:row r="9" ht="15" customHeight="1">
      <x:c r="A9" s="57" t="inlineStr">
        <x:is>
          <x:t xml:space="preserve">Daily Analytics</x:t>
        </x:is>
      </x:c>
      <x:c r="B9" s="59" t="inlineStr">
        <x:is>
          <x:t xml:space="preserve">Money database</x:t>
        </x:is>
      </x:c>
      <x:c r="C9" s="57" t="inlineStr">
        <x:is>
          <x:t xml:space="preserve">OLAP only</x:t>
        </x:is>
      </x:c>
      <x:c r="D9" s="57" t="inlineStr">
        <x:is>
          <x:t xml:space="preserve">17</x:t>
        </x:is>
      </x:c>
      <x:c r="E9" s="57" t="inlineStr">
        <x:is>
          <x:t xml:space="preserve">0</x:t>
        </x:is>
      </x:c>
      <x:c r="F9" s="57" t="inlineStr">
        <x:is>
          <x:t xml:space="preserve">6</x:t>
        </x:is>
      </x:c>
      <x:c r="G9" s="59" t="inlineStr">
        <x:is>
          <x:t xml:space="preserve">Persisted daily portfolio snapshot fact table for historical reporting and governed feeds.</x:t>
        </x:is>
      </x:c>
    </x:row>
    <x:row r="10" ht="15" customHeight="1">
      <x:c r="A10" s="57" t="inlineStr">
        <x:is>
          <x:t xml:space="preserve">Loan Assessment</x:t>
        </x:is>
      </x:c>
      <x:c r="B10" s="59" t="inlineStr">
        <x:is>
          <x:t xml:space="preserve">Money database</x:t>
        </x:is>
      </x:c>
      <x:c r="C10" s="57" t="inlineStr">
        <x:is>
          <x:t xml:space="preserve">OLAP only</x:t>
        </x:is>
      </x:c>
      <x:c r="D10" s="57" t="inlineStr">
        <x:is>
          <x:t xml:space="preserve">6</x:t>
        </x:is>
      </x:c>
      <x:c r="E10" s="57" t="inlineStr">
        <x:is>
          <x:t xml:space="preserve">0</x:t>
        </x:is>
      </x:c>
      <x:c r="F10" s="57" t="inlineStr">
        <x:is>
          <x:t xml:space="preserve">16</x:t>
        </x:is>
      </x:c>
      <x:c r="G10" s="59" t="inlineStr">
        <x:is>
          <x:t xml:space="preserve">Input/control record for evaluating a proposed loan against projected coverage and return.</x:t>
        </x:is>
      </x:c>
    </x:row>
    <x:row r="11" ht="15" customHeight="1">
      <x:c r="A11" s="57" t="inlineStr">
        <x:is>
          <x:t xml:space="preserve">Loans</x:t>
        </x:is>
      </x:c>
      <x:c r="B11" s="59" t="inlineStr">
        <x:is>
          <x:t xml:space="preserve">Money database</x:t>
        </x:is>
      </x:c>
      <x:c r="C11" s="57" t="inlineStr">
        <x:is>
          <x:t xml:space="preserve">OLTP + OLAP</x:t>
        </x:is>
      </x:c>
      <x:c r="D11" s="57" t="n">
        <x:v>20</x:v>
      </x:c>
      <x:c r="E11" s="57" t="n">
        <x:v>20</x:v>
      </x:c>
      <x:c r="F11" s="57" t="n">
        <x:v>30</x:v>
      </x:c>
      <x:c r="G11" s="59" t="inlineStr">
        <x:is>
          <x:t xml:space="preserve">Loan contracts, commercial terms, lifecycle state, balances, daily-installment reporting, and loan-level risk metrics.</x:t>
        </x:is>
      </x:c>
    </x:row>
    <x:row r="12" ht="15" customHeight="1">
      <x:c r="A12" s="57" t="inlineStr">
        <x:is>
          <x:t xml:space="preserve">Partners</x:t>
        </x:is>
      </x:c>
      <x:c r="B12" s="59" t="inlineStr">
        <x:is>
          <x:t xml:space="preserve">Money database</x:t>
        </x:is>
      </x:c>
      <x:c r="C12" s="57" t="inlineStr">
        <x:is>
          <x:t xml:space="preserve">OLTP + OLAP</x:t>
        </x:is>
      </x:c>
      <x:c r="D12" s="57" t="inlineStr">
        <x:is>
          <x:t xml:space="preserve">5</x:t>
        </x:is>
      </x:c>
      <x:c r="E12" s="57" t="inlineStr">
        <x:is>
          <x:t xml:space="preserve">0</x:t>
        </x:is>
      </x:c>
      <x:c r="F12" s="57" t="inlineStr">
        <x:is>
          <x:t xml:space="preserve">12</x:t>
        </x:is>
      </x:c>
      <x:c r="G12" s="59" t="inlineStr">
        <x:is>
          <x:t xml:space="preserve">Partner master records used for capital participation and settlement reporting.</x:t>
        </x:is>
      </x:c>
    </x:row>
    <x:row r="13" ht="15" customHeight="1">
      <x:c r="A13" s="57" t="inlineStr">
        <x:is>
          <x:t xml:space="preserve">Repayments</x:t>
        </x:is>
      </x:c>
      <x:c r="B13" s="59" t="inlineStr">
        <x:is>
          <x:t xml:space="preserve">Money database</x:t>
        </x:is>
      </x:c>
      <x:c r="C13" s="57" t="inlineStr">
        <x:is>
          <x:t xml:space="preserve">OLTP + OLAP</x:t>
        </x:is>
      </x:c>
      <x:c r="D13" s="57" t="inlineStr">
        <x:is>
          <x:t xml:space="preserve">9</x:t>
        </x:is>
      </x:c>
      <x:c r="E13" s="57" t="inlineStr">
        <x:is>
          <x:t xml:space="preserve">4</x:t>
        </x:is>
      </x:c>
      <x:c r="F13" s="57" t="inlineStr">
        <x:is>
          <x:t xml:space="preserve">13</x:t>
        </x:is>
      </x:c>
      <x:c r="G13" s="59" t="inlineStr">
        <x:is>
          <x:t xml:space="preserve">Posted payment transactions and their allocation to loans and charges.</x:t>
        </x:is>
      </x:c>
    </x:row>
    <x:row r="14" ht="15" customHeight="1">
      <x:c r="A14" s="57" t="inlineStr">
        <x:is>
          <x:t xml:space="preserve">Settlements</x:t>
        </x:is>
      </x:c>
      <x:c r="B14" s="59" t="inlineStr">
        <x:is>
          <x:t xml:space="preserve">Money database</x:t>
        </x:is>
      </x:c>
      <x:c r="C14" s="57" t="inlineStr">
        <x:is>
          <x:t xml:space="preserve">OLAP only</x:t>
        </x:is>
      </x:c>
      <x:c r="D14" s="57" t="inlineStr">
        <x:is>
          <x:t xml:space="preserve">8</x:t>
        </x:is>
      </x:c>
      <x:c r="E14" s="57" t="inlineStr">
        <x:is>
          <x:t xml:space="preserve">0</x:t>
        </x:is>
      </x:c>
      <x:c r="F14" s="57" t="inlineStr">
        <x:is>
          <x:t xml:space="preserve">0</x:t>
        </x:is>
      </x:c>
      <x:c r="G14" s="59" t="inlineStr">
        <x:is>
          <x:t xml:space="preserve">Auditable partner settlement records and settlement status.</x:t>
        </x:is>
      </x:c>
    </x:row>
    <x:row r="15" ht="15" customHeight="1">
      <x:c r="A15" s="57" t="inlineStr">
        <x:is>
          <x:t xml:space="preserve">Statistics</x:t>
        </x:is>
      </x:c>
      <x:c r="B15" s="59" t="inlineStr">
        <x:is>
          <x:t xml:space="preserve">Money database</x:t>
        </x:is>
      </x:c>
      <x:c r="C15" s="57" t="inlineStr">
        <x:is>
          <x:t xml:space="preserve">OLTP + OLAP</x:t>
        </x:is>
      </x:c>
      <x:c r="D15" s="57" t="inlineStr">
        <x:is>
          <x:t xml:space="preserve">3</x:t>
        </x:is>
      </x:c>
      <x:c r="E15" s="57" t="inlineStr">
        <x:is>
          <x:t xml:space="preserve">23</x:t>
        </x:is>
      </x:c>
      <x:c r="F15" s="57" t="inlineStr">
        <x:is>
          <x:t xml:space="preserve">36</x:t>
        </x:is>
      </x:c>
      <x:c r="G15" s="59" t="inlineStr">
        <x:is>
          <x:t xml:space="preserve">Small KPI/control table used to expose app-level operational and reporting aggregates.</x:t>
        </x:is>
      </x:c>
    </x:row>
  </x:sheetData>
  <x:mergeCells>
    <x:mergeCell ref="A2:G2"/>
    <x:mergeCell ref="A1:G1"/>
  </x:mergeCells>
  <x:pageMargins left="0.7" right="0.7" top="0.75" bottom="0.75" header="0.3" footer="0.3"/>
  <x:tableParts count="1">
    <x:tablePart xmlns:r="http://schemas.openxmlformats.org/officeDocument/2006/relationships" r:id="R5f5788544a3e42b7"/>
  </x:tableParts>
</x:worksheet>
</file>

<file path=xl/worksheets/sheet3.xml><?xml version="1.0" encoding="utf-8"?>
<x:worksheet xmlns:x="http://schemas.openxmlformats.org/spreadsheetml/2006/main">
  <x:sheetViews>
    <x:sheetView showGridLines="0" workbookViewId="0"/>
  </x:sheetViews>
  <x:sheetFormatPr baseColWidth="8" defaultRowHeight="15"/>
  <x:cols>
    <x:col min="1" max="1" width="24" customWidth="1"/>
    <x:col min="2" max="2" width="13" customWidth="1"/>
    <x:col min="3" max="3" width="34" customWidth="1"/>
    <x:col min="4" max="4" width="22" customWidth="1"/>
    <x:col min="5" max="5" width="18" customWidth="1"/>
    <x:col min="6" max="6" width="14" customWidth="1"/>
    <x:col min="7" max="7" width="58" customWidth="1"/>
    <x:col min="8" max="8" width="78" customWidth="1"/>
  </x:cols>
  <x:sheetData>
    <x:row r="1" ht="30" customHeight="1">
      <x:c r="A1" s="3" t="str">
        <x:v>Columns</x:v>
      </x:c>
      <x:c r="B1"/>
      <x:c r="C1"/>
      <x:c r="D1"/>
      <x:c r="E1"/>
      <x:c r="F1"/>
      <x:c r="G1"/>
      <x:c r="H1"/>
    </x:row>
    <x:row r="2" ht="30" customHeight="1">
      <x:c r="A2" s="7" t="str">
        <x:v>Reconciled union of OLTP and OLAP physical and virtual columns. Production OLTP Borrowers gained Active Profit After Principal Coverage on 2026-09-01; prior pending-collection, daily-installment, and borrower-visibility reconciliation remains in force.</x:v>
      </x:c>
      <x:c r="B2"/>
      <x:c r="C2"/>
      <x:c r="D2"/>
      <x:c r="E2"/>
      <x:c r="F2"/>
      <x:c r="G2"/>
      <x:c r="H2"/>
    </x:row>
    <x:row r="3">
      <x:c r="A3"/>
      <x:c r="B3"/>
      <x:c r="C3"/>
      <x:c r="D3"/>
      <x:c r="E3"/>
      <x:c r="F3"/>
      <x:c r="G3"/>
      <x:c r="H3"/>
    </x:row>
    <x:row r="4" ht="30" customHeight="1">
      <x:c r="A4" s="50" t="str">
        <x:v>Table</x:v>
      </x:c>
      <x:c r="B4" s="51" t="str">
        <x:v>Column Order</x:v>
      </x:c>
      <x:c r="C4" s="51" t="str">
        <x:v>Column</x:v>
      </x:c>
      <x:c r="D4" s="51" t="str">
        <x:v>Kind / type</x:v>
      </x:c>
      <x:c r="E4" s="51" t="str">
        <x:v>Availability</x:v>
      </x:c>
      <x:c r="F4" s="51" t="str">
        <x:v>Flags</x:v>
      </x:c>
      <x:c r="G4" s="51" t="str">
        <x:v>Purpose</x:v>
      </x:c>
      <x:c r="H4" s="52" t="str">
        <x:v>Definition / expression</x:v>
      </x:c>
    </x:row>
    <x:row r="5" ht="15" customHeight="1">
      <x:c r="A5" s="56" t="str">
        <x:v>Borrowers</x:v>
      </x:c>
      <x:c r="B5" s="56" t="n">
        <x:v>1</x:v>
      </x:c>
      <x:c r="C5" s="58" t="str">
        <x:v>_RowNumber</x:v>
      </x:c>
      <x:c r="D5" s="58" t="str">
        <x:v>Physical / Number</x:v>
      </x:c>
      <x:c r="E5" s="56" t="str">
        <x:v>OLTP + OLAP</x:v>
      </x:c>
      <x:c r="F5" s="56" t="str">
        <x:v>-</x:v>
      </x:c>
      <x:c r="G5" s="58" t="str">
        <x:v>System-generated source-row ordinal; not a stable business key.</x:v>
      </x:c>
      <x:c r="H5" s="58" t="str">
        <x:v>Stored source column</x:v>
      </x:c>
    </x:row>
    <x:row r="6" ht="15" customHeight="1">
      <x:c r="A6" s="57" t="str">
        <x:v>Borrowers</x:v>
      </x:c>
      <x:c r="B6" s="57" t="n">
        <x:v>2</x:v>
      </x:c>
      <x:c r="C6" s="59" t="str">
        <x:v>Row ID</x:v>
      </x:c>
      <x:c r="D6" s="59" t="str">
        <x:v>Physical / Text</x:v>
      </x:c>
      <x:c r="E6" s="57" t="str">
        <x:v>OLTP + OLAP</x:v>
      </x:c>
      <x:c r="F6" s="57" t="str">
        <x:v>Key, Required</x:v>
      </x:c>
      <x:c r="G6" s="59" t="str">
        <x:v>Immutable row key generated by the source database.</x:v>
      </x:c>
      <x:c r="H6" s="59" t="str">
        <x:v>Stored source column; initial value: UNIQUEID("PackedUUID")</x:v>
      </x:c>
    </x:row>
    <x:row r="7" ht="15" customHeight="1">
      <x:c r="A7" s="57" t="str">
        <x:v>Borrowers</x:v>
      </x:c>
      <x:c r="B7" s="57" t="n">
        <x:v>3</x:v>
      </x:c>
      <x:c r="C7" s="59" t="str">
        <x:v>Borrower Name</x:v>
      </x:c>
      <x:c r="D7" s="59" t="str">
        <x:v>Physical / Name</x:v>
      </x:c>
      <x:c r="E7" s="57" t="str">
        <x:v>OLTP + OLAP</x:v>
      </x:c>
      <x:c r="F7" s="57" t="str">
        <x:v>Required</x:v>
      </x:c>
      <x:c r="G7" s="59" t="str">
        <x:v>Stores the authoritative source value for Borrower Name.</x:v>
      </x:c>
      <x:c r="H7" s="59" t="str">
        <x:v>Stored source column</x:v>
      </x:c>
    </x:row>
    <x:row r="8" ht="15" customHeight="1">
      <x:c r="A8" s="57" t="str">
        <x:v>Borrowers</x:v>
      </x:c>
      <x:c r="B8" s="57" t="n">
        <x:v>4</x:v>
      </x:c>
      <x:c r="C8" s="59" t="str">
        <x:v>Telephone</x:v>
      </x:c>
      <x:c r="D8" s="59" t="str">
        <x:v>Physical / Phone</x:v>
      </x:c>
      <x:c r="E8" s="57" t="str">
        <x:v>OLTP + OLAP</x:v>
      </x:c>
      <x:c r="F8" s="57" t="str">
        <x:v>PII</x:v>
      </x:c>
      <x:c r="G8" s="59" t="str">
        <x:v>Stores the authoritative source value for Telephone.</x:v>
      </x:c>
      <x:c r="H8" s="59" t="str">
        <x:v>Stored source column</x:v>
      </x:c>
    </x:row>
    <x:row r="9" ht="15" customHeight="1">
      <x:c r="A9" s="57" t="str">
        <x:v>Borrowers</x:v>
      </x:c>
      <x:c r="B9" s="57" t="n">
        <x:v>5</x:v>
      </x:c>
      <x:c r="C9" s="59" t="str">
        <x:v>Description</x:v>
      </x:c>
      <x:c r="D9" s="59" t="str">
        <x:v>Physical / LongText</x:v>
      </x:c>
      <x:c r="E9" s="57" t="str">
        <x:v>OLTP + OLAP</x:v>
      </x:c>
      <x:c r="F9" s="57" t="str">
        <x:v>-</x:v>
      </x:c>
      <x:c r="G9" s="59" t="str">
        <x:v>Stores the authoritative source value for Description.</x:v>
      </x:c>
      <x:c r="H9" s="59" t="str">
        <x:v>Stored source column</x:v>
      </x:c>
    </x:row>
    <x:row r="10" ht="15" customHeight="1">
      <x:c r="A10" s="57" t="str">
        <x:v>Borrowers</x:v>
      </x:c>
      <x:c r="B10" s="57" t="n">
        <x:v>6</x:v>
      </x:c>
      <x:c r="C10" s="59" t="str">
        <x:v>Creation Date</x:v>
      </x:c>
      <x:c r="D10" s="59" t="str">
        <x:v>Physical / Date</x:v>
      </x:c>
      <x:c r="E10" s="57" t="str">
        <x:v>OLTP + OLAP</x:v>
      </x:c>
      <x:c r="F10" s="57" t="str">
        <x:v>Required</x:v>
      </x:c>
      <x:c r="G10" s="59" t="str">
        <x:v>Stores the source date for Creation Date.</x:v>
      </x:c>
      <x:c r="H10" s="59" t="str">
        <x:v>Stored source column; initial value: TODAY()</x:v>
      </x:c>
    </x:row>
    <x:row r="11" ht="15" customHeight="1">
      <x:c r="A11" s="57" t="str">
        <x:v>Borrowers</x:v>
      </x:c>
      <x:c r="B11" s="57" t="n">
        <x:v>7</x:v>
      </x:c>
      <x:c r="C11" s="59" t="str">
        <x:v>Hidden Flag</x:v>
      </x:c>
      <x:c r="D11" s="59" t="str">
        <x:v>Physical / Yes/No</x:v>
      </x:c>
      <x:c r="E11" s="57" t="str">
        <x:v>OLTP only</x:v>
      </x:c>
      <x:c r="F11" s="57" t="str">
        <x:v>OLTP: Show and editable; initial FALSE; searchable; OLAP: Not loaded</x:v>
      </x:c>
      <x:c r="G11" s="59" t="str">
        <x:v>View-only visibility control. TRUE hides the borrower from the production OLTP Borrowers list without excluding related loans, collections, or calculations.</x:v>
      </x:c>
      <x:c r="H11" s="59" t="str">
        <x:v>Stored source column; initial value: FALSE; display name: "ซ่อนจากรายชื่อผู้กู้ / Hide from Borrowers List"</x:v>
      </x:c>
    </x:row>
    <x:row r="12" ht="15" customHeight="1">
      <x:c r="A12" s="57" t="str">
        <x:v>Borrowers</x:v>
      </x:c>
      <x:c r="B12" s="57" t="n">
        <x:v>8</x:v>
      </x:c>
      <x:c r="C12" s="59" t="str">
        <x:v>Related Loans</x:v>
      </x:c>
      <x:c r="D12" s="59" t="str">
        <x:v>VC / List</x:v>
      </x:c>
      <x:c r="E12" s="57" t="str">
        <x:v>OLTP + OLAP</x:v>
      </x:c>
      <x:c r="F12" s="57" t="str">
        <x:v>-</x:v>
      </x:c>
      <x:c r="G12" s="59" t="str">
        <x:v>Reverse-reference list of child rows that point to this record.</x:v>
      </x:c>
      <x:c r="H12" s="59" t="str">
        <x:v>REF_ROWS("Loans", "Ref Borrowers")</x:v>
      </x:c>
    </x:row>
    <x:row r="13" ht="15" customHeight="1">
      <x:c r="A13" s="57" t="str">
        <x:v>Borrowers</x:v>
      </x:c>
      <x:c r="B13" s="57" t="n">
        <x:v>9</x:v>
      </x:c>
      <x:c r="C13" s="59" t="str">
        <x:v>Total Interest Earned</x:v>
      </x:c>
      <x:c r="D13" s="59" t="str">
        <x:v>VC / Price</x:v>
      </x:c>
      <x:c r="E13" s="57" t="str">
        <x:v>OLTP + OLAP</x:v>
      </x:c>
      <x:c r="F13" s="57" t="str">
        <x:v>-</x:v>
      </x:c>
      <x:c r="G13" s="59" t="str">
        <x:v>Derived financial aggregate or balance for operational or analytical use.</x:v>
      </x:c>
      <x:c r="H13" s="59" t="str">
        <x:v>SUM([Related Loans][Total Interest Received])</x:v>
      </x:c>
    </x:row>
    <x:row r="14" ht="15" customHeight="1">
      <x:c r="A14" s="57" t="str">
        <x:v>Borrowers</x:v>
      </x:c>
      <x:c r="B14" s="57" t="n">
        <x:v>10</x:v>
      </x:c>
      <x:c r="C14" s="59" t="str">
        <x:v>Total Amount Loaned</x:v>
      </x:c>
      <x:c r="D14" s="59" t="str">
        <x:v>VC / Price</x:v>
      </x:c>
      <x:c r="E14" s="57" t="str">
        <x:v>OLTP + OLAP</x:v>
      </x:c>
      <x:c r="F14" s="57" t="str">
        <x:v>-</x:v>
      </x:c>
      <x:c r="G14" s="59" t="str">
        <x:v>Derived financial aggregate or balance for operational or analytical use.</x:v>
      </x:c>
      <x:c r="H14" s="59" t="str">
        <x:v>SUM([Related Loans][Principal Amount])</x:v>
      </x:c>
    </x:row>
    <x:row r="15" ht="15" customHeight="1">
      <x:c r="A15" s="57" t="str">
        <x:v>Borrowers</x:v>
      </x:c>
      <x:c r="B15" s="57" t="n">
        <x:v>11</x:v>
      </x:c>
      <x:c r="C15" s="59" t="str">
        <x:v>Total Number of Loans</x:v>
      </x:c>
      <x:c r="D15" s="59" t="str">
        <x:v>VC / Number</x:v>
      </x:c>
      <x:c r="E15" s="57" t="str">
        <x:v>OLTP + OLAP</x:v>
      </x:c>
      <x:c r="F15" s="57" t="str">
        <x:v>-</x:v>
      </x:c>
      <x:c r="G15" s="59" t="str">
        <x:v>Derived count used for workload, portfolio, or risk analysis.</x:v>
      </x:c>
      <x:c r="H15" s="59" t="str">
        <x:v>COUNT([Related Loans])</x:v>
      </x:c>
    </x:row>
    <x:row r="16" ht="15" customHeight="1">
      <x:c r="A16" s="57" t="str">
        <x:v>Borrowers</x:v>
      </x:c>
      <x:c r="B16" s="57" t="n">
        <x:v>12</x:v>
      </x:c>
      <x:c r="C16" s="59" t="str">
        <x:v>Total Outstanding Principal</x:v>
      </x:c>
      <x:c r="D16" s="59" t="str">
        <x:v>VC / Price</x:v>
      </x:c>
      <x:c r="E16" s="57" t="str">
        <x:v>OLTP + OLAP</x:v>
      </x:c>
      <x:c r="F16" s="57" t="str">
        <x:v>-</x:v>
      </x:c>
      <x:c r="G16" s="59" t="str">
        <x:v>Derived financial aggregate or balance for operational or analytical use.</x:v>
      </x:c>
      <x:c r="H16" s="59" t="str">
        <x:v>SUM([Related Loans][Outstanding Principal])</x:v>
      </x:c>
    </x:row>
    <x:row r="17" ht="15" customHeight="1">
      <x:c r="A17" s="57" t="str">
        <x:v>Borrowers</x:v>
      </x:c>
      <x:c r="B17" s="57" t="n">
        <x:v>13</x:v>
      </x:c>
      <x:c r="C17" s="59" t="str">
        <x:v>Header - Active Loans</x:v>
      </x:c>
      <x:c r="D17" s="59" t="str">
        <x:v>VC / Text</x:v>
      </x:c>
      <x:c r="E17" s="57" t="str">
        <x:v>OLTP + OLAP</x:v>
      </x:c>
      <x:c r="F17" s="57" t="str">
        <x:v>-</x:v>
      </x:c>
      <x:c r="G17" s="59" t="str">
        <x:v>Presentation-oriented label or bilingual display value.</x:v>
      </x:c>
      <x:c r="H17" s="59" t="str">
        <x:v>"──── เงินกู้ที่ยังไม่ปิด / Active Loans ────"</x:v>
      </x:c>
    </x:row>
    <x:row r="18" ht="43.20000076293945" customHeight="1">
      <x:c r="A18" s="57" t="str">
        <x:v>Borrowers</x:v>
      </x:c>
      <x:c r="B18" s="57" t="n">
        <x:v>14</x:v>
      </x:c>
      <x:c r="C18" s="59" t="str">
        <x:v>Borrower Name TE</x:v>
      </x:c>
      <x:c r="D18" s="59" t="str">
        <x:v>VC / Text</x:v>
      </x:c>
      <x:c r="E18" s="57" t="str">
        <x:v>OLTP + OLAP</x:v>
      </x:c>
      <x:c r="F18" s="57" t="str">
        <x:v>Label</x:v>
      </x:c>
      <x:c r="G18" s="59" t="str">
        <x:v>Presentation-oriented label or bilingual display value.</x:v>
      </x:c>
      <x:c r="H18" s="59" t="str">
        <x:v>CONCATENATE([Borrower Name], " - ", [Description])</x:v>
      </x:c>
    </x:row>
    <x:row r="19" ht="21.600000381469727" customHeight="1">
      <x:c r="A19" s="57" t="str">
        <x:v>Borrowers</x:v>
      </x:c>
      <x:c r="B19" s="57" t="n">
        <x:v>15</x:v>
      </x:c>
      <x:c r="C19" s="59" t="str">
        <x:v>Return on Active Principal</x:v>
      </x:c>
      <x:c r="D19" s="59" t="str">
        <x:v>VC / Percent</x:v>
      </x:c>
      <x:c r="E19" s="57" t="str">
        <x:v>OLTP + OLAP</x:v>
      </x:c>
      <x:c r="F19" s="57" t="str">
        <x:v>-</x:v>
      </x:c>
      <x:c r="G19" s="59" t="str">
        <x:v>Derived ratio or performance measure calculated from governed source values.</x:v>
      </x:c>
      <x:c r="H19" s="59" t="str">
        <x:v>IF([Total Outstanding Principal] &gt; 0, [Active Loan Interest Earned] / [Total Outstanding Principal], 0)</x:v>
      </x:c>
    </x:row>
    <x:row r="20" ht="15" customHeight="1">
      <x:c r="A20" s="57" t="str">
        <x:v>Borrowers</x:v>
      </x:c>
      <x:c r="B20" s="57" t="n">
        <x:v>16</x:v>
      </x:c>
      <x:c r="C20" s="59" t="str">
        <x:v>Profit Last 30 Days</x:v>
      </x:c>
      <x:c r="D20" s="59" t="str">
        <x:v>VC / Price</x:v>
      </x:c>
      <x:c r="E20" s="57" t="str">
        <x:v>OLAP only</x:v>
      </x:c>
      <x:c r="F20" s="57" t="str">
        <x:v>-</x:v>
      </x:c>
      <x:c r="G20" s="59" t="str">
        <x:v>Derived date, time-window, age, or delinquency measure.</x:v>
      </x:c>
      <x:c r="H20" s="59" t="str">
        <x:v>SUM( SELECT( Repayments[Interest Paid], AND( [Ref Loans].[Ref Borrowers] = [_THISROW].[Row ID], [Payment Date] &gt;= TODAY() - 29, [Payment Date] &lt;= TODAY(), [Interest Paid] &gt; 0 ) ))</x:v>
      </x:c>
    </x:row>
    <x:row r="21" ht="21.600000381469727" customHeight="1">
      <x:c r="A21" s="57" t="str">
        <x:v>Borrowers</x:v>
      </x:c>
      <x:c r="B21" s="57" t="n">
        <x:v>17</x:v>
      </x:c>
      <x:c r="C21" s="59" t="str">
        <x:v>Active Loan Interest Earned</x:v>
      </x:c>
      <x:c r="D21" s="59" t="str">
        <x:v>VC / Price</x:v>
      </x:c>
      <x:c r="E21" s="57" t="str">
        <x:v>OLTP + OLAP</x:v>
      </x:c>
      <x:c r="F21" s="57" t="str">
        <x:v>-</x:v>
      </x:c>
      <x:c r="G21" s="59" t="str">
        <x:v>Derived financial aggregate or balance for operational or analytical use.</x:v>
      </x:c>
      <x:c r="H21" s="59" t="str">
        <x:v>SUM( SELECT( Loans[Total Interest Received], AND([Ref Borrowers] = [_THISROW].[Row ID], [Loan Status] = "ยังไม่ปิดยอด") ))</x:v>
      </x:c>
    </x:row>
    <x:row r="22" ht="32.400001525878906" customHeight="1">
      <x:c r="A22" s="57" t="str">
        <x:v>Borrowers</x:v>
      </x:c>
      <x:c r="B22" s="57" t="n">
        <x:v>18</x:v>
      </x:c>
      <x:c r="C22" s="59" t="str">
        <x:v>Active Daily Interest</x:v>
      </x:c>
      <x:c r="D22" s="59" t="str">
        <x:v>VC / Price</x:v>
      </x:c>
      <x:c r="E22" s="57" t="str">
        <x:v>OLTP + OLAP</x:v>
      </x:c>
      <x:c r="F22" s="57" t="str">
        <x:v>-</x:v>
      </x:c>
      <x:c r="G22" s="59" t="str">
        <x:v>Derived financial aggregate or balance for operational or analytical use.</x:v>
      </x:c>
      <x:c r="H22" s="59" t="str">
        <x:v>SUM(SELECT(Loans[Expected Daily Interest Amount], [Ref Borrowers] = [_THISROW].[Row ID]))</x:v>
      </x:c>
    </x:row>
    <x:row r="23" ht="15" customHeight="1">
      <x:c r="A23" s="57" t="str">
        <x:v>Borrowers</x:v>
      </x:c>
      <x:c r="B23" s="57" t="n">
        <x:v>19</x:v>
      </x:c>
      <x:c r="C23" s="59" t="str">
        <x:v>Projected Interest Coverage Date</x:v>
      </x:c>
      <x:c r="D23" s="59" t="str">
        <x:v>VC / Date</x:v>
      </x:c>
      <x:c r="E23" s="57" t="str">
        <x:v>OLTP + OLAP</x:v>
      </x:c>
      <x:c r="F23" s="57" t="str">
        <x:v>-</x:v>
      </x:c>
      <x:c r="G23" s="59" t="str">
        <x:v>Derived ratio or performance measure calculated from governed source values.</x:v>
      </x:c>
      <x:c r="H23" s="59" t="str">
        <x:v>IFS( [Total Outstanding Principal] &lt;= 0, "", [Active Loan Interest Earned] &gt;= [Total Outstanding Principal], TODAY(), [Active Daily Interest] &gt; 0, TODAY() + CEILING( ( [Total Outstanding Principal] - [Active Loan Interest Earned] ) / [Active Daily Interest] ), TRUE, "")</x:v>
      </x:c>
    </x:row>
    <x:row r="24" ht="15" customHeight="1">
      <x:c r="A24" s="57" t="str">
        <x:v>Borrowers</x:v>
      </x:c>
      <x:c r="B24" s="57" t="n">
        <x:v>20</x:v>
      </x:c>
      <x:c r="C24" s="59" t="str">
        <x:v>Related Loan Assessments</x:v>
      </x:c>
      <x:c r="D24" s="59" t="str">
        <x:v>VC / List</x:v>
      </x:c>
      <x:c r="E24" s="57" t="str">
        <x:v>OLAP only</x:v>
      </x:c>
      <x:c r="F24" s="57" t="str">
        <x:v>-</x:v>
      </x:c>
      <x:c r="G24" s="59" t="str">
        <x:v>Reverse-reference list of child rows that point to this record.</x:v>
      </x:c>
      <x:c r="H24" s="59" t="str">
        <x:v>REF_ROWS("Loan Assessment", "Ref Borrower")</x:v>
      </x:c>
    </x:row>
    <x:row r="25" ht="15" customHeight="1">
      <x:c r="A25" s="57" t="str">
        <x:v>Borrowers</x:v>
      </x:c>
      <x:c r="B25" s="57" t="n">
        <x:v>21</x:v>
      </x:c>
      <x:c r="C25" s="59" t="str">
        <x:v>Related Calendars</x:v>
      </x:c>
      <x:c r="D25" s="59" t="str">
        <x:v>VC / List</x:v>
      </x:c>
      <x:c r="E25" s="57" t="str">
        <x:v>OLAP only</x:v>
      </x:c>
      <x:c r="F25" s="57" t="str">
        <x:v>-</x:v>
      </x:c>
      <x:c r="G25" s="59" t="str">
        <x:v>Reverse-reference list of child rows that point to this record.</x:v>
      </x:c>
      <x:c r="H25" s="59" t="str">
        <x:v>REF_ROWS("Calendar", "Assessment Borrower")</x:v>
      </x:c>
    </x:row>
    <x:row r="26" ht="15" customHeight="1">
      <x:c r="A26" s="57" t="str">
        <x:v>Borrowers</x:v>
      </x:c>
      <x:c r="B26" s="57" t="n">
        <x:v>22</x:v>
      </x:c>
      <x:c r="C26" s="59" t="str">
        <x:v>Closed Loan Interest Earned</x:v>
      </x:c>
      <x:c r="D26" s="59" t="str">
        <x:v>VC / Price</x:v>
      </x:c>
      <x:c r="E26" s="57" t="str">
        <x:v>OLTP + OLAP</x:v>
      </x:c>
      <x:c r="F26" s="57" t="str">
        <x:v>-</x:v>
      </x:c>
      <x:c r="G26" s="59" t="str">
        <x:v>Derived financial aggregate or balance for operational or analytical use.</x:v>
      </x:c>
      <x:c r="H26" s="59" t="str">
        <x:v>[Total Interest Earned] - [Active Loan Interest Earned]</x:v>
      </x:c>
    </x:row>
    <x:row r="27" ht="15" customHeight="1">
      <x:c r="A27" s="57" t="str">
        <x:v>Borrowers</x:v>
      </x:c>
      <x:c r="B27" s="57" t="n">
        <x:v>23</x:v>
      </x:c>
      <x:c r="C27" s="59" t="str">
        <x:v>Closed Loan Principle</x:v>
      </x:c>
      <x:c r="D27" s="59" t="str">
        <x:v>VC / Price</x:v>
      </x:c>
      <x:c r="E27" s="57" t="str">
        <x:v>OLTP + OLAP</x:v>
      </x:c>
      <x:c r="F27" s="57" t="str">
        <x:v>-</x:v>
      </x:c>
      <x:c r="G27" s="59" t="str">
        <x:v>Derived AppSheet value used by the app workflow, presentation, or reporting model.</x:v>
      </x:c>
      <x:c r="H27" s="59" t="str">
        <x:v>[Total Amount Loaned] - [Total Outstanding Principal]</x:v>
      </x:c>
    </x:row>
    <x:row r="28" ht="15" customHeight="1">
      <x:c r="A28" s="57" t="str">
        <x:v>Borrowers</x:v>
      </x:c>
      <x:c r="B28" s="57" t="n">
        <x:v>24</x:v>
      </x:c>
      <x:c r="C28" s="59" t="str">
        <x:v>Has Closed Loan</x:v>
      </x:c>
      <x:c r="D28" s="59" t="str">
        <x:v>VC / Yes/No</x:v>
      </x:c>
      <x:c r="E28" s="57" t="str">
        <x:v>OLTP + OLAP</x:v>
      </x:c>
      <x:c r="F28" s="57" t="str">
        <x:v>-</x:v>
      </x:c>
      <x:c r="G28" s="59" t="str">
        <x:v>Derived business-state or risk indicator.</x:v>
      </x:c>
      <x:c r="H28" s="59" t="str">
        <x:v>COUNT(SELECT([Related Loans][Row ID], [Loan Status] = "ปิดยอดแล้ว")) &gt; 0</x:v>
      </x:c>
    </x:row>
    <x:row r="29" ht="15" customHeight="1">
      <x:c r="A29" s="57" t="str">
        <x:v>Borrowers</x:v>
      </x:c>
      <x:c r="B29" s="57" t="n">
        <x:v>25</x:v>
      </x:c>
      <x:c r="C29" s="59" t="str">
        <x:v>Return on Closed Loans</x:v>
      </x:c>
      <x:c r="D29" s="59" t="str">
        <x:v>VC / Percent</x:v>
      </x:c>
      <x:c r="E29" s="57" t="str">
        <x:v>OLTP + OLAP</x:v>
      </x:c>
      <x:c r="F29" s="57" t="str">
        <x:v>-</x:v>
      </x:c>
      <x:c r="G29" s="59" t="str">
        <x:v>Derived ratio or performance measure calculated from governed source values.</x:v>
      </x:c>
      <x:c r="H29" s="59" t="str">
        <x:v>IF( AND([Has Closed Loan], [Closed Loan Principle] &gt; 0), [Closed Loan Interest Earned] / [Closed Loan Principle], 0)</x:v>
      </x:c>
    </x:row>
    <x:row r="30" ht="15" customHeight="1">
      <x:c r="A30" s="57" t="str">
        <x:v>Borrowers</x:v>
      </x:c>
      <x:c r="B30" s="57" t="n">
        <x:v>26</x:v>
      </x:c>
      <x:c r="C30" s="59" t="str">
        <x:v>Header - Closed Loans</x:v>
      </x:c>
      <x:c r="D30" s="59" t="str">
        <x:v>VC / Text</x:v>
      </x:c>
      <x:c r="E30" s="57" t="str">
        <x:v>OLTP + OLAP</x:v>
      </x:c>
      <x:c r="F30" s="57" t="str">
        <x:v>-</x:v>
      </x:c>
      <x:c r="G30" s="59" t="str">
        <x:v>Presentation-oriented label or bilingual display value.</x:v>
      </x:c>
      <x:c r="H30" s="59" t="str">
        <x:v>"──── เงินกู้ที่ปิดแล้ว / Closed Loans ────"</x:v>
      </x:c>
    </x:row>
    <x:row r="31" ht="15" customHeight="1">
      <x:c r="A31" s="57" t="str">
        <x:v>Borrowers</x:v>
      </x:c>
      <x:c r="B31" s="57" t="n">
        <x:v>27</x:v>
      </x:c>
      <x:c r="C31" s="59" t="str">
        <x:v>Has Active Loan</x:v>
      </x:c>
      <x:c r="D31" s="59" t="str">
        <x:v>VC / Yes/No</x:v>
      </x:c>
      <x:c r="E31" s="57" t="str">
        <x:v>OLTP + OLAP</x:v>
      </x:c>
      <x:c r="F31" s="57" t="str">
        <x:v>-</x:v>
      </x:c>
      <x:c r="G31" s="59" t="str">
        <x:v>Derived business-state or risk indicator.</x:v>
      </x:c>
      <x:c r="H31" s="59" t="str">
        <x:v>COUNT(SELECT([Related Loans][Row ID], [Loan Status] = "ยังไม่ปิดยอด")) &gt; 0</x:v>
      </x:c>
    </x:row>
    <x:row r="32" ht="15" customHeight="1">
      <x:c r="A32" s="57" t="str">
        <x:v>Borrowers</x:v>
      </x:c>
      <x:c r="B32" s="57" t="n">
        <x:v>28</x:v>
      </x:c>
      <x:c r="C32" s="59" t="str">
        <x:v>30D Gross Principal Days</x:v>
      </x:c>
      <x:c r="D32" s="59" t="str">
        <x:v>VC / Decimal</x:v>
      </x:c>
      <x:c r="E32" s="57" t="str">
        <x:v>OLAP only</x:v>
      </x:c>
      <x:c r="F32" s="57" t="str">
        <x:v>-</x:v>
      </x:c>
      <x:c r="G32" s="59" t="str">
        <x:v>Derived date, time-window, age, or delinquency measure.</x:v>
      </x:c>
      <x:c r="H32" s="59" t="str">
        <x:v>SUM( SELECT( Loans[30D Principal Days], [Ref Borrowers] = [_THISROW].[Row ID] ))</x:v>
      </x:c>
    </x:row>
    <x:row r="33" ht="15" customHeight="1">
      <x:c r="A33" s="57" t="str">
        <x:v>Borrowers</x:v>
      </x:c>
      <x:c r="B33" s="57" t="n">
        <x:v>29</x:v>
      </x:c>
      <x:c r="C33" s="59" t="str">
        <x:v>30D Principal Reduction Days</x:v>
      </x:c>
      <x:c r="D33" s="59" t="str">
        <x:v>VC / Decimal</x:v>
      </x:c>
      <x:c r="E33" s="57" t="str">
        <x:v>OLAP only</x:v>
      </x:c>
      <x:c r="F33" s="57" t="str">
        <x:v>-</x:v>
      </x:c>
      <x:c r="G33" s="59" t="str">
        <x:v>Derived date, time-window, age, or delinquency measure.</x:v>
      </x:c>
      <x:c r="H33" s="59" t="str">
        <x:v>SUM( SELECT( Repayments[30D Principal Reduction Days], [Ref Loans].[Ref Borrowers] = [_THISROW].[Row ID] ))</x:v>
      </x:c>
    </x:row>
    <x:row r="34" ht="15" customHeight="1">
      <x:c r="A34" s="57" t="str">
        <x:v>Borrowers</x:v>
      </x:c>
      <x:c r="B34" s="57" t="n">
        <x:v>30</x:v>
      </x:c>
      <x:c r="C34" s="59" t="str">
        <x:v>30D Average Outstanding Principal</x:v>
      </x:c>
      <x:c r="D34" s="59" t="str">
        <x:v>VC / Decimal</x:v>
      </x:c>
      <x:c r="E34" s="57" t="str">
        <x:v>OLAP only</x:v>
      </x:c>
      <x:c r="F34" s="57" t="str">
        <x:v>-</x:v>
      </x:c>
      <x:c r="G34" s="59" t="str">
        <x:v>Derived date, time-window, age, or delinquency measure.</x:v>
      </x:c>
      <x:c r="H34" s="59" t="str">
        <x:v>( [30D Gross Principal Days] - [30D Principal Reduction Days] ) / 30</x:v>
      </x:c>
    </x:row>
    <x:row r="35" ht="75.5999984741211" customHeight="1">
      <x:c r="A35" s="57" t="str">
        <x:v>Borrowers</x:v>
      </x:c>
      <x:c r="B35" s="57" t="n">
        <x:v>31</x:v>
      </x:c>
      <x:c r="C35" s="59" t="str">
        <x:v>30D Return on Average Principal</x:v>
      </x:c>
      <x:c r="D35" s="59" t="str">
        <x:v>VC / Percent</x:v>
      </x:c>
      <x:c r="E35" s="57" t="str">
        <x:v>OLAP only</x:v>
      </x:c>
      <x:c r="F35" s="57" t="str">
        <x:v>-</x:v>
      </x:c>
      <x:c r="G35" s="59" t="str">
        <x:v>Derived ratio or performance measure calculated from governed source values.</x:v>
      </x:c>
      <x:c r="H35" s="59" t="str">
        <x:v>IF( [30D Average Outstanding Principal] &gt; 0, [Profit Last 30 Days] / [30D Average Outstanding Principal], 0)</x:v>
      </x:c>
    </x:row>
    <x:row r="36" ht="21.600000381469727" customHeight="1">
      <x:c r="A36" s="57" t="str">
        <x:v>Borrowers</x:v>
      </x:c>
      <x:c r="B36" s="57" t="n">
        <x:v>32</x:v>
      </x:c>
      <x:c r="C36" s="59" t="str">
        <x:v>Daily Collection Status</x:v>
      </x:c>
      <x:c r="D36" s="59" t="str">
        <x:v>VC / Text</x:v>
      </x:c>
      <x:c r="E36" s="57" t="str">
        <x:v>OLTP + OLAP</x:v>
      </x:c>
      <x:c r="F36" s="57" t="str">
        <x:v>-</x:v>
      </x:c>
      <x:c r="G36" s="59" t="str">
        <x:v>Derived business-state or risk indicator.</x:v>
      </x:c>
      <x:c r="H36" s="59" t="str">
        <x:v>IFS( COUNT([Todays Collection Charges]) = 0, "", COUNT( SELECT( Charges[Row ID], AND( IN([Row ID], [_THISROW].[Todays Collection Charges]), [Charge Date] &lt; TODAY(), [Payment Status] &lt;&gt; "ชำระแล้ว" ) ) ) &gt; 0, "Overdue", AND( NOT(IN("รอชำระ", [Todays Collection Charges][Payment Status])), NOT(IN("ชำระบางส่วน", [Todays Collection Charges][Payment Status])) ), "Fully Paid", OR( IN("ชำระบางส่วน", [Todays Collection Charges][Payment Status]), AND( IN("ชำระแล้ว", [Todays Collection Charges][Payment Status]), IN("รอชำระ", [Todays Collection Charges][Payment Status]) ) ), "Partially Paid", TRUE, "Not Paid")</x:v>
      </x:c>
    </x:row>
    <x:row r="37" ht="15" customHeight="1">
      <x:c r="A37" s="57" t="str">
        <x:v>Borrowers</x:v>
      </x:c>
      <x:c r="B37" s="57" t="n">
        <x:v>33</x:v>
      </x:c>
      <x:c r="C37" s="59" t="str">
        <x:v>Todays Collection Charges</x:v>
      </x:c>
      <x:c r="D37" s="59" t="str">
        <x:v>VC / List</x:v>
      </x:c>
      <x:c r="E37" s="57" t="str">
        <x:v>OLTP + OLAP</x:v>
      </x:c>
      <x:c r="F37" s="57" t="str">
        <x:v>-</x:v>
      </x:c>
      <x:c r="G37" s="59" t="str">
        <x:v>Derived date, time-window, age, or delinquency measure.</x:v>
      </x:c>
      <x:c r="H37" s="59" t="str">
        <x:v>SELECT( Charges[Row ID], AND( [Ref Loans].[Ref Borrowers] = [_THISROW].[Row ID], OR( AND( [Payment Status] &lt;&gt; "ชำระแล้ว", [Charge Date] &lt;= TODAY() ), AND( [Payment Status] = "ชำระแล้ว", [Payment Date] = TODAY() ) ) ))</x:v>
      </x:c>
    </x:row>
    <x:row r="38" ht="15" customHeight="1">
      <x:c r="A38" s="57" t="str">
        <x:v>Borrowers</x:v>
      </x:c>
      <x:c r="B38" s="57" t="n">
        <x:v>34</x:v>
      </x:c>
      <x:c r="C38" s="59" t="str">
        <x:v>Todays Amount Due</x:v>
      </x:c>
      <x:c r="D38" s="59" t="str">
        <x:v>VC / Price</x:v>
      </x:c>
      <x:c r="E38" s="57" t="str">
        <x:v>OLTP + OLAP</x:v>
      </x:c>
      <x:c r="F38" s="57" t="str">
        <x:v>-</x:v>
      </x:c>
      <x:c r="G38" s="59" t="str">
        <x:v>Derived date, time-window, age, or delinquency measure.</x:v>
      </x:c>
      <x:c r="H38" s="59" t="str">
        <x:v>SUM([Todays Collection Charges][Amount Due])</x:v>
      </x:c>
    </x:row>
    <x:row r="39" ht="15" customHeight="1">
      <x:c r="A39" s="57" t="str">
        <x:v>Borrowers</x:v>
      </x:c>
      <x:c r="B39" s="57" t="n">
        <x:v>35</x:v>
      </x:c>
      <x:c r="C39" s="59" t="str">
        <x:v>Todays Amount Collected</x:v>
      </x:c>
      <x:c r="D39" s="59" t="str">
        <x:v>VC / Price</x:v>
      </x:c>
      <x:c r="E39" s="57" t="str">
        <x:v>OLTP + OLAP</x:v>
      </x:c>
      <x:c r="F39" s="57" t="str">
        <x:v>-</x:v>
      </x:c>
      <x:c r="G39" s="59" t="str">
        <x:v>Derived date, time-window, age, or delinquency measure.</x:v>
      </x:c>
      <x:c r="H39" s="59" t="str">
        <x:v>SUM([Todays Collection Charges][Total Paid])</x:v>
      </x:c>
    </x:row>
    <x:row r="40" ht="21.600000381469727" customHeight="1">
      <x:c r="A40" s="57" t="str">
        <x:v>Borrowers</x:v>
      </x:c>
      <x:c r="B40" s="57" t="n">
        <x:v>36</x:v>
      </x:c>
      <x:c r="C40" s="59" t="str">
        <x:v>Todays Amount Remaining</x:v>
      </x:c>
      <x:c r="D40" s="59" t="str">
        <x:v>VC / Price</x:v>
      </x:c>
      <x:c r="E40" s="57" t="str">
        <x:v>OLTP + OLAP</x:v>
      </x:c>
      <x:c r="F40" s="57" t="str">
        <x:v>-</x:v>
      </x:c>
      <x:c r="G40" s="59" t="str">
        <x:v>Derived date, time-window, age, or delinquency measure.</x:v>
      </x:c>
      <x:c r="H40" s="59" t="str">
        <x:v>SUM([Todays Collection Charges][Amount Remaining])</x:v>
      </x:c>
    </x:row>
    <x:row r="41" ht="15" customHeight="1">
      <x:c r="A41" s="57" t="str">
        <x:v>Borrowers</x:v>
      </x:c>
      <x:c r="B41" s="57" t="n">
        <x:v>37</x:v>
      </x:c>
      <x:c r="C41" s="59" t="str">
        <x:v>Portfolio Exposure %</x:v>
      </x:c>
      <x:c r="D41" s="59" t="str">
        <x:v>VC / Percent</x:v>
      </x:c>
      <x:c r="E41" s="57" t="str">
        <x:v>OLAP only</x:v>
      </x:c>
      <x:c r="F41" s="57" t="str">
        <x:v>-</x:v>
      </x:c>
      <x:c r="G41" s="59" t="str">
        <x:v>Derived ratio or performance measure calculated from governed source values.</x:v>
      </x:c>
      <x:c r="H41" s="59" t="str">
        <x:v>IF( SUM(Borrowers[Total Outstanding Principal]) = 0, 0, [Total Outstanding Principal] / SUM(Borrowers[Total Outstanding Principal]))</x:v>
      </x:c>
    </x:row>
    <x:row r="42" ht="15" customHeight="1">
      <x:c r="A42" s="57" t="str">
        <x:v>Borrowers</x:v>
      </x:c>
      <x:c r="B42" s="57" t="n">
        <x:v>38</x:v>
      </x:c>
      <x:c r="C42" s="59" t="str">
        <x:v>Active Loan Count</x:v>
      </x:c>
      <x:c r="D42" s="59" t="str">
        <x:v>VC / Number</x:v>
      </x:c>
      <x:c r="E42" s="57" t="str">
        <x:v>OLAP only</x:v>
      </x:c>
      <x:c r="F42" s="57" t="str">
        <x:v>-</x:v>
      </x:c>
      <x:c r="G42" s="59" t="str">
        <x:v>Derived count used for workload, portfolio, or risk analysis.</x:v>
      </x:c>
      <x:c r="H42" s="59" t="str">
        <x:v>COUNT( SELECT( Loans[Row ID], AND([Ref Borrowers] = [_THISROW].[Row ID], [Loan Status] = "ยังไม่ปิดยอด") ))</x:v>
      </x:c>
    </x:row>
    <x:row r="43" ht="21.600000381469727" customHeight="1">
      <x:c r="A43" s="57" t="str">
        <x:v>Borrowers</x:v>
      </x:c>
      <x:c r="B43" s="57" t="n">
        <x:v>39</x:v>
      </x:c>
      <x:c r="C43" s="59" t="str">
        <x:v>Oldest Active Loan Age</x:v>
      </x:c>
      <x:c r="D43" s="59" t="str">
        <x:v>VC / Number</x:v>
      </x:c>
      <x:c r="E43" s="57" t="str">
        <x:v>OLAP only</x:v>
      </x:c>
      <x:c r="F43" s="57" t="str">
        <x:v>-</x:v>
      </x:c>
      <x:c r="G43" s="59" t="str">
        <x:v>Derived date, time-window, age, or delinquency measure.</x:v>
      </x:c>
      <x:c r="H43" s="59" t="str">
        <x:v>MAX( SELECT( Loans[Loan Age Days], AND([Ref Borrowers] = [_THISROW].[Row ID], [Loan Status] = "ยังไม่ปิดยอด") ))</x:v>
      </x:c>
    </x:row>
    <x:row r="44" ht="21.600000381469727" customHeight="1">
      <x:c r="A44" s="57" t="str">
        <x:v>Borrowers</x:v>
      </x:c>
      <x:c r="B44" s="57" t="n">
        <x:v>40</x:v>
      </x:c>
      <x:c r="C44" s="59" t="str">
        <x:v>Overdue Amount</x:v>
      </x:c>
      <x:c r="D44" s="59" t="str">
        <x:v>VC / Price</x:v>
      </x:c>
      <x:c r="E44" s="57" t="str">
        <x:v>OLAP only</x:v>
      </x:c>
      <x:c r="F44" s="57" t="str">
        <x:v>-</x:v>
      </x:c>
      <x:c r="G44" s="59" t="str">
        <x:v>Derived financial aggregate or balance for operational or analytical use.</x:v>
      </x:c>
      <x:c r="H44" s="59" t="str">
        <x:v>SUM( SELECT( Charges[Amount Remaining], AND( [Ref Loans].[Ref Borrowers] = [_THISROW].[Row ID], [Charge Date] &lt; TODAY(), [Payment Status] &lt;&gt; "ชำระแล้ว" ) ))</x:v>
      </x:c>
    </x:row>
    <x:row r="45" ht="15" customHeight="1">
      <x:c r="A45" s="57" t="str">
        <x:v>Borrowers</x:v>
      </x:c>
      <x:c r="B45" s="57" t="n">
        <x:v>41</x:v>
      </x:c>
      <x:c r="C45" s="59" t="str">
        <x:v>Overdue Charge Count</x:v>
      </x:c>
      <x:c r="D45" s="59" t="str">
        <x:v>VC / Number</x:v>
      </x:c>
      <x:c r="E45" s="57" t="str">
        <x:v>OLAP only</x:v>
      </x:c>
      <x:c r="F45" s="57" t="str">
        <x:v>-</x:v>
      </x:c>
      <x:c r="G45" s="59" t="str">
        <x:v>Derived count used for workload, portfolio, or risk analysis.</x:v>
      </x:c>
      <x:c r="H45" s="59" t="str">
        <x:v>COUNT( SELECT( Charges[Row ID], AND( [Ref Loans].[Ref Borrowers] = [_THISROW].[Row ID], [Charge Date] &lt; TODAY(), [Payment Status] &lt;&gt; "ชำระแล้ว" ) ))</x:v>
      </x:c>
    </x:row>
    <x:row r="46" ht="15" customHeight="1">
      <x:c r="A46" s="57" t="str">
        <x:v>Borrowers</x:v>
      </x:c>
      <x:c r="B46" s="57" t="n">
        <x:v>42</x:v>
      </x:c>
      <x:c r="C46" s="59" t="str">
        <x:v>Historical Charge Count</x:v>
      </x:c>
      <x:c r="D46" s="59" t="str">
        <x:v>VC / Number</x:v>
      </x:c>
      <x:c r="E46" s="57" t="str">
        <x:v>OLAP only</x:v>
      </x:c>
      <x:c r="F46" s="57" t="str">
        <x:v>-</x:v>
      </x:c>
      <x:c r="G46" s="59" t="str">
        <x:v>Derived count used for workload, portfolio, or risk analysis.</x:v>
      </x:c>
      <x:c r="H46" s="59" t="str">
        <x:v>COUNT(SELECT(Charges[Row ID], AND([Ref Loans].[Ref Borrowers] = [_THISROW].[Row ID], [Charge Date] &lt; TODAY())))</x:v>
      </x:c>
    </x:row>
    <x:row r="47" ht="15" customHeight="1">
      <x:c r="A47" s="57" t="str">
        <x:v>Borrowers</x:v>
      </x:c>
      <x:c r="B47" s="57" t="n">
        <x:v>43</x:v>
      </x:c>
      <x:c r="C47" s="59" t="str">
        <x:v>On Time Charge Count</x:v>
      </x:c>
      <x:c r="D47" s="59" t="str">
        <x:v>VC / Number</x:v>
      </x:c>
      <x:c r="E47" s="57" t="str">
        <x:v>OLAP only</x:v>
      </x:c>
      <x:c r="F47" s="57" t="str">
        <x:v>-</x:v>
      </x:c>
      <x:c r="G47" s="59" t="str">
        <x:v>Derived count used for workload, portfolio, or risk analysis.</x:v>
      </x:c>
      <x:c r="H47" s="59" t="str">
        <x:v>COUNT(SELECT(Charges[Row ID], AND([Ref Loans].[Ref Borrowers] = [_THISROW].[Row ID], [Historical On Time] = TRUE)))</x:v>
      </x:c>
    </x:row>
    <x:row r="48" ht="21.600000381469727" customHeight="1">
      <x:c r="A48" s="57" t="str">
        <x:v>Borrowers</x:v>
      </x:c>
      <x:c r="B48" s="57" t="n">
        <x:v>44</x:v>
      </x:c>
      <x:c r="C48" s="59" t="str">
        <x:v>Lifetime On Time Rate</x:v>
      </x:c>
      <x:c r="D48" s="59" t="str">
        <x:v>VC / Percent</x:v>
      </x:c>
      <x:c r="E48" s="57" t="str">
        <x:v>OLAP only</x:v>
      </x:c>
      <x:c r="F48" s="57" t="str">
        <x:v>-</x:v>
      </x:c>
      <x:c r="G48" s="59" t="str">
        <x:v>Derived ratio or performance measure calculated from governed source values.</x:v>
      </x:c>
      <x:c r="H48" s="59" t="str">
        <x:v>IF([Historical Charge Count] = 0, 0, [On Time Charge Count] / [Historical Charge Count])</x:v>
      </x:c>
    </x:row>
    <x:row r="49" ht="21.600000381469727" customHeight="1">
      <x:c r="A49" s="57" t="str">
        <x:v>Borrowers</x:v>
      </x:c>
      <x:c r="B49" s="57" t="n">
        <x:v>45</x:v>
      </x:c>
      <x:c r="C49" s="59" t="str">
        <x:v>Recent 30D Charge Count</x:v>
      </x:c>
      <x:c r="D49" s="59" t="str">
        <x:v>VC / Number</x:v>
      </x:c>
      <x:c r="E49" s="57" t="str">
        <x:v>OLAP only</x:v>
      </x:c>
      <x:c r="F49" s="57" t="str">
        <x:v>-</x:v>
      </x:c>
      <x:c r="G49" s="59" t="str">
        <x:v>Derived count used for workload, portfolio, or risk analysis.</x:v>
      </x:c>
      <x:c r="H49" s="59" t="str">
        <x:v>COUNT(SELECT(Charges[Row ID], AND([Ref Loans].[Ref Borrowers] = [_THISROW].[Row ID], [Charge Date] &gt;= TODAY() - 30, [Charge Date] &lt; TODAY())))</x:v>
      </x:c>
    </x:row>
    <x:row r="50" ht="15" customHeight="1">
      <x:c r="A50" s="57" t="str">
        <x:v>Borrowers</x:v>
      </x:c>
      <x:c r="B50" s="57" t="n">
        <x:v>46</x:v>
      </x:c>
      <x:c r="C50" s="59" t="str">
        <x:v>Recent 30D On Time Count</x:v>
      </x:c>
      <x:c r="D50" s="59" t="str">
        <x:v>VC / Number</x:v>
      </x:c>
      <x:c r="E50" s="57" t="str">
        <x:v>OLAP only</x:v>
      </x:c>
      <x:c r="F50" s="57" t="str">
        <x:v>-</x:v>
      </x:c>
      <x:c r="G50" s="59" t="str">
        <x:v>Derived count used for workload, portfolio, or risk analysis.</x:v>
      </x:c>
      <x:c r="H50" s="59" t="str">
        <x:v>COUNT(SELECT(Charges[Row ID], AND([Ref Loans].[Ref Borrowers] = [_THISROW].[Row ID], [Charge Date] &gt;= TODAY() - 30, [Charge Date] &lt; TODAY(), [Historical On Time] = TRUE)))</x:v>
      </x:c>
    </x:row>
    <x:row r="51" ht="15" customHeight="1">
      <x:c r="A51" s="57" t="str">
        <x:v>Borrowers</x:v>
      </x:c>
      <x:c r="B51" s="57" t="n">
        <x:v>47</x:v>
      </x:c>
      <x:c r="C51" s="59" t="str">
        <x:v>Recent 30D On Time Rate</x:v>
      </x:c>
      <x:c r="D51" s="59" t="str">
        <x:v>VC / Percent</x:v>
      </x:c>
      <x:c r="E51" s="57" t="str">
        <x:v>OLAP only</x:v>
      </x:c>
      <x:c r="F51" s="57" t="str">
        <x:v>-</x:v>
      </x:c>
      <x:c r="G51" s="59" t="str">
        <x:v>Derived ratio or performance measure calculated from governed source values.</x:v>
      </x:c>
      <x:c r="H51" s="59" t="str">
        <x:v>IF([Recent 30D Charge Count] = 0, 0, [Recent 30D On Time Count] / [Recent 30D Charge Count])</x:v>
      </x:c>
    </x:row>
    <x:row r="52" ht="21.600000381469727" customHeight="1">
      <x:c r="A52" s="57" t="str">
        <x:v>Borrowers</x:v>
      </x:c>
      <x:c r="B52" s="57" t="n">
        <x:v>48</x:v>
      </x:c>
      <x:c r="C52" s="59" t="str">
        <x:v>Lifetime Late Payment Count</x:v>
      </x:c>
      <x:c r="D52" s="59" t="str">
        <x:v>VC / Number</x:v>
      </x:c>
      <x:c r="E52" s="57" t="str">
        <x:v>OLAP only</x:v>
      </x:c>
      <x:c r="F52" s="57" t="str">
        <x:v>-</x:v>
      </x:c>
      <x:c r="G52" s="59" t="str">
        <x:v>Derived count used for workload, portfolio, or risk analysis.</x:v>
      </x:c>
      <x:c r="H52" s="59" t="str">
        <x:v>COUNT(SELECT(Charges[Row ID], AND([Ref Loans].[Ref Borrowers] = [_THISROW].[Row ID], [Historical Late] = TRUE)))</x:v>
      </x:c>
    </x:row>
    <x:row r="53" ht="15" customHeight="1">
      <x:c r="A53" s="57" t="str">
        <x:v>Borrowers</x:v>
      </x:c>
      <x:c r="B53" s="57" t="n">
        <x:v>49</x:v>
      </x:c>
      <x:c r="C53" s="59" t="str">
        <x:v>Recent 30D Late Payment Count</x:v>
      </x:c>
      <x:c r="D53" s="59" t="str">
        <x:v>VC / Number</x:v>
      </x:c>
      <x:c r="E53" s="57" t="str">
        <x:v>OLAP only</x:v>
      </x:c>
      <x:c r="F53" s="57" t="str">
        <x:v>-</x:v>
      </x:c>
      <x:c r="G53" s="59" t="str">
        <x:v>Derived count used for workload, portfolio, or risk analysis.</x:v>
      </x:c>
      <x:c r="H53" s="59" t="str">
        <x:v>COUNT(SELECT(Charges[Row ID], AND([Ref Loans].[Ref Borrowers] = [_THISROW].[Row ID], [Charge Date] &gt;= TODAY() - 30, [Charge Date] &lt; TODAY(), [Historical Late] = TRUE)))</x:v>
      </x:c>
    </x:row>
    <x:row r="54" ht="15" customHeight="1">
      <x:c r="A54" s="57" t="str">
        <x:v>Borrowers</x:v>
      </x:c>
      <x:c r="B54" s="57" t="n">
        <x:v>50</x:v>
      </x:c>
      <x:c r="C54" s="59" t="str">
        <x:v>Maximum Days Late</x:v>
      </x:c>
      <x:c r="D54" s="59" t="str">
        <x:v>VC / Number</x:v>
      </x:c>
      <x:c r="E54" s="57" t="str">
        <x:v>OLAP only</x:v>
      </x:c>
      <x:c r="F54" s="57" t="str">
        <x:v>-</x:v>
      </x:c>
      <x:c r="G54" s="59" t="str">
        <x:v>Derived business-state or risk indicator.</x:v>
      </x:c>
      <x:c r="H54" s="59" t="str">
        <x:v>MAX(LIST(0) + SELECT(Charges[Days Late], [Ref Loans].[Ref Borrowers] = [_THISROW].[Row ID]))</x:v>
      </x:c>
    </x:row>
    <x:row r="55" ht="21.600000381469727" customHeight="1">
      <x:c r="A55" s="57" t="str">
        <x:v>Borrowers</x:v>
      </x:c>
      <x:c r="B55" s="57" t="n">
        <x:v>51</x:v>
      </x:c>
      <x:c r="C55" s="59" t="str">
        <x:v>Last Late Payment Date</x:v>
      </x:c>
      <x:c r="D55" s="59" t="str">
        <x:v>VC / Date</x:v>
      </x:c>
      <x:c r="E55" s="57" t="str">
        <x:v>OLAP only</x:v>
      </x:c>
      <x:c r="F55" s="57" t="str">
        <x:v>-</x:v>
      </x:c>
      <x:c r="G55" s="59" t="str">
        <x:v>Derived business-state or risk indicator.</x:v>
      </x:c>
      <x:c r="H55" s="59" t="str">
        <x:v>MAX(SELECT(Charges[Charge Date], AND([Ref Loans].[Ref Borrowers] = [_THISROW].[Row ID], [Days Late] &gt; 0)))</x:v>
      </x:c>
    </x:row>
    <x:row r="56" ht="32.400001525878906" customHeight="1">
      <x:c r="A56" s="57" t="str">
        <x:v>Borrowers</x:v>
      </x:c>
      <x:c r="B56" s="57" t="n">
        <x:v>52</x:v>
      </x:c>
      <x:c r="C56" s="59" t="str">
        <x:v>Largest Successful Loan</x:v>
      </x:c>
      <x:c r="D56" s="59" t="str">
        <x:v>VC / Price</x:v>
      </x:c>
      <x:c r="E56" s="57" t="str">
        <x:v>OLAP only</x:v>
      </x:c>
      <x:c r="F56" s="57" t="str">
        <x:v>-</x:v>
      </x:c>
      <x:c r="G56" s="59" t="str">
        <x:v>Derived AppSheet value used by the app workflow, presentation, or reporting model.</x:v>
      </x:c>
      <x:c r="H56" s="59" t="str">
        <x:v>MAX(LIST(0) + SELECT(Loans[Principal Amount], AND([Ref Borrowers] = [_THISROW].[Row ID], [Loan Status] = "ปิดยอดแล้ว", [Defaulted] = FALSE)))</x:v>
      </x:c>
    </x:row>
    <x:row r="57" ht="15" customHeight="1">
      <x:c r="A57" s="57" t="str">
        <x:v>Borrowers</x:v>
      </x:c>
      <x:c r="B57" s="57" t="n">
        <x:v>53</x:v>
      </x:c>
      <x:c r="C57" s="59" t="str">
        <x:v>Average Successful Loan Size</x:v>
      </x:c>
      <x:c r="D57" s="59" t="str">
        <x:v>VC / Price</x:v>
      </x:c>
      <x:c r="E57" s="57" t="str">
        <x:v>OLAP only</x:v>
      </x:c>
      <x:c r="F57" s="57" t="str">
        <x:v>-</x:v>
      </x:c>
      <x:c r="G57" s="59" t="str">
        <x:v>Derived date, time-window, age, or delinquency measure.</x:v>
      </x:c>
      <x:c r="H57" s="59" t="str">
        <x:v>IF(COUNT(SELECT(Loans[Row ID], AND([Ref Borrowers] = [_THISROW].[Row ID], [Loan Status] = "ปิดยอดแล้ว", [Defaulted] = FALSE))) = 0, 0, AVERAGE(SELECT(Loans[Principal Amount], AND([Ref Borrowers] = [_THISROW].[Row ID], [Loan Status] = "ปิดยอดแล้ว", [Defaulted] = FALSE))))</x:v>
      </x:c>
    </x:row>
    <x:row r="58" ht="15" customHeight="1">
      <x:c r="A58" s="57" t="str">
        <x:v>Borrowers</x:v>
      </x:c>
      <x:c r="B58" s="57" t="n">
        <x:v>54</x:v>
      </x:c>
      <x:c r="C58" s="59" t="str">
        <x:v>Default Count</x:v>
      </x:c>
      <x:c r="D58" s="59" t="str">
        <x:v>VC / Number</x:v>
      </x:c>
      <x:c r="E58" s="57" t="str">
        <x:v>OLAP only</x:v>
      </x:c>
      <x:c r="F58" s="57" t="str">
        <x:v>-</x:v>
      </x:c>
      <x:c r="G58" s="59" t="str">
        <x:v>Derived count used for workload, portfolio, or risk analysis.</x:v>
      </x:c>
      <x:c r="H58" s="59" t="str">
        <x:v>COUNT(SELECT(Loans[Row ID], AND([Ref Borrowers] = [_THISROW].[Row ID], [Defaulted] = TRUE)))</x:v>
      </x:c>
    </x:row>
    <x:row r="59" ht="15" customHeight="1">
      <x:c r="A59" s="57" t="str">
        <x:v>Borrowers</x:v>
      </x:c>
      <x:c r="B59" s="57" t="n">
        <x:v>55</x:v>
      </x:c>
      <x:c r="C59" s="59" t="str">
        <x:v>Lifetime Default Loss</x:v>
      </x:c>
      <x:c r="D59" s="59" t="str">
        <x:v>VC / Price</x:v>
      </x:c>
      <x:c r="E59" s="57" t="str">
        <x:v>OLAP only</x:v>
      </x:c>
      <x:c r="F59" s="57" t="str">
        <x:v>-</x:v>
      </x:c>
      <x:c r="G59" s="59" t="str">
        <x:v>Derived AppSheet value used by the app workflow, presentation, or reporting model.</x:v>
      </x:c>
      <x:c r="H59" s="59" t="str">
        <x:v>SUM(SELECT(Loans[Default Loss Amount], AND([Ref Borrowers] = [_THISROW].[Row ID], [Defaulted] = TRUE)))</x:v>
      </x:c>
    </x:row>
    <x:row r="60" ht="15" customHeight="1">
      <x:c r="A60" s="57" t="str">
        <x:v>Borrowers</x:v>
      </x:c>
      <x:c r="B60" s="57" t="n">
        <x:v>56</x:v>
      </x:c>
      <x:c r="C60" s="59" t="str">
        <x:v>Portfolio Outstanding Principal</x:v>
      </x:c>
      <x:c r="D60" s="59" t="str">
        <x:v>VC / Price</x:v>
      </x:c>
      <x:c r="E60" s="57" t="str">
        <x:v>OLAP only</x:v>
      </x:c>
      <x:c r="F60" s="57" t="str">
        <x:v>-</x:v>
      </x:c>
      <x:c r="G60" s="59" t="str">
        <x:v>Derived financial aggregate or balance for operational or analytical use.</x:v>
      </x:c>
      <x:c r="H60" s="59" t="str">
        <x:v>SUM(Loans[Outstanding Principal])</x:v>
      </x:c>
    </x:row>
    <x:row r="61" ht="21.600000381469727" customHeight="1">
      <x:c r="A61" s="57" t="str">
        <x:v>Borrowers</x:v>
      </x:c>
      <x:c r="B61" s="57" t="n">
        <x:v>57</x:v>
      </x:c>
      <x:c r="C61" s="59" t="str">
        <x:v>Portfolio Share Join Key</x:v>
      </x:c>
      <x:c r="D61" s="59" t="str">
        <x:v>VC / Text</x:v>
      </x:c>
      <x:c r="E61" s="57" t="str">
        <x:v>OLAP only</x:v>
      </x:c>
      <x:c r="F61" s="57" t="str">
        <x:v>-</x:v>
      </x:c>
      <x:c r="G61" s="59" t="str">
        <x:v>Derived grouping, ordering, or join value used by reporting or app presentation.</x:v>
      </x:c>
      <x:c r="H61" s="59" t="str">
        <x:v>"Portfolio"</x:v>
      </x:c>
    </x:row>
    <x:row r="62" ht="15" customHeight="1">
      <x:c r="A62" s="57" t="str">
        <x:v>Borrowers</x:v>
      </x:c>
      <x:c r="B62" s="57" t="n">
        <x:v>58</x:v>
      </x:c>
      <x:c r="C62" s="59" t="str">
        <x:v>Daily Collection Status - Order</x:v>
      </x:c>
      <x:c r="D62" s="59" t="str">
        <x:v>VC / Text</x:v>
      </x:c>
      <x:c r="E62" s="57" t="str">
        <x:v>OLTP only</x:v>
      </x:c>
      <x:c r="F62" s="57" t="str">
        <x:v>-</x:v>
      </x:c>
      <x:c r="G62" s="59" t="str">
        <x:v>Derived grouping, ordering, or join value used by reporting or app presentation.</x:v>
      </x:c>
      <x:c r="H62" s="59" t="str">
        <x:v>SWITCH( [Daily Collection Status], "Not Paid", "1 - ยังไม่ชำระ Not Paid", "Partially Paid", "2 - ชำระบางส่วน Partially Paid", "Overdue", "3 - เกินกำหนด Overdue", "Fully Paid", "4 - ชำระครบ Fully Paid", "")</x:v>
      </x:c>
    </x:row>
    <x:row r="63" ht="15" customHeight="1">
      <x:c r="A63" s="57" t="str">
        <x:v>Borrowers</x:v>
      </x:c>
      <x:c r="B63" s="57" t="n">
        <x:v>59</x:v>
      </x:c>
      <x:c r="C63" s="59" t="str">
        <x:v>Borrower Name - Collection</x:v>
      </x:c>
      <x:c r="D63" s="59" t="str">
        <x:v>VC / Text</x:v>
      </x:c>
      <x:c r="E63" s="57" t="str">
        <x:v>OLTP only</x:v>
      </x:c>
      <x:c r="F63" s="57" t="str">
        <x:v>-</x:v>
      </x:c>
      <x:c r="G63" s="59" t="str">
        <x:v>Derived AppSheet value used by the app workflow, presentation, or reporting model.</x:v>
      </x:c>
      <x:c r="H63" s="59" t="str">
        <x:v>CONCATENATE([Borrower Name], " - ", [Description])</x:v>
      </x:c>
    </x:row>
    <x:row r="64" ht="15" customHeight="1">
      <x:c r="A64" s="57" t="str">
        <x:v>Borrowers</x:v>
      </x:c>
      <x:c r="B64" s="57" t="n">
        <x:v>60</x:v>
      </x:c>
      <x:c r="C64" s="59" t="str">
        <x:v>Active Profit After Principal Coverage</x:v>
      </x:c>
      <x:c r="D64" s="59" t="str">
        <x:v>VC / Price</x:v>
      </x:c>
      <x:c r="E64" s="57" t="str">
        <x:v>OLTP only</x:v>
      </x:c>
      <x:c r="F64" s="57" t="str">
        <x:v>Show if: [Has Active Loan]; 0 decimals</x:v>
      </x:c>
      <x:c r="G64" s="59" t="str">
        <x:v>Active-loan interest earned after covering current outstanding principal; a hypothetical immediate-default coverage amount, not accounting profit.</x:v>
      </x:c>
      <x:c r="H64" s="59" t="str">
        <x:v>[Active Loan Interest Earned] - [Total Outstanding Principal]</x:v>
      </x:c>
    </x:row>
    <x:row r="65" ht="15" customHeight="1">
      <x:c r="A65" s="57" t="str">
        <x:v>Calendar</x:v>
      </x:c>
      <x:c r="B65" s="57" t="n">
        <x:v>1</x:v>
      </x:c>
      <x:c r="C65" s="59" t="str">
        <x:v>_RowNumber</x:v>
      </x:c>
      <x:c r="D65" s="59" t="str">
        <x:v>Physical / Number</x:v>
      </x:c>
      <x:c r="E65" s="57" t="str">
        <x:v>OLAP only</x:v>
      </x:c>
      <x:c r="F65" s="57" t="str">
        <x:v>-</x:v>
      </x:c>
      <x:c r="G65" s="59" t="str">
        <x:v>System-generated source-row ordinal; not a stable business key.</x:v>
      </x:c>
      <x:c r="H65" s="59" t="str">
        <x:v>Stored source column</x:v>
      </x:c>
    </x:row>
    <x:row r="66" ht="15" customHeight="1">
      <x:c r="A66" s="57" t="str">
        <x:v>Calendar</x:v>
      </x:c>
      <x:c r="B66" s="57" t="n">
        <x:v>2</x:v>
      </x:c>
      <x:c r="C66" s="59" t="str">
        <x:v>Date</x:v>
      </x:c>
      <x:c r="D66" s="59" t="str">
        <x:v>Physical / Date</x:v>
      </x:c>
      <x:c r="E66" s="57" t="str">
        <x:v>OLAP only</x:v>
      </x:c>
      <x:c r="F66" s="57" t="str">
        <x:v>Key, Label, Required</x:v>
      </x:c>
      <x:c r="G66" s="59" t="str">
        <x:v>Stores the source date for Date.</x:v>
      </x:c>
      <x:c r="H66" s="59" t="str">
        <x:v>Stored source column</x:v>
      </x:c>
    </x:row>
    <x:row r="67" ht="15" customHeight="1">
      <x:c r="A67" s="57" t="str">
        <x:v>Calendar</x:v>
      </x:c>
      <x:c r="B67" s="57" t="n">
        <x:v>3</x:v>
      </x:c>
      <x:c r="C67" s="59" t="str">
        <x:v>Assessment Proposed Amount</x:v>
      </x:c>
      <x:c r="D67" s="59" t="str">
        <x:v>VC / Price</x:v>
      </x:c>
      <x:c r="E67" s="57" t="str">
        <x:v>OLAP only</x:v>
      </x:c>
      <x:c r="F67" s="57" t="str">
        <x:v>-</x:v>
      </x:c>
      <x:c r="G67" s="59" t="str">
        <x:v>Derived financial aggregate or balance for operational or analytical use.</x:v>
      </x:c>
      <x:c r="H67" s="59" t="str">
        <x:v>LOOKUP( "MAIN", "Loan Assessment", "Assessment ID", "Proposed Loan Amount")</x:v>
      </x:c>
    </x:row>
    <x:row r="68" ht="21.600000381469727" customHeight="1">
      <x:c r="A68" s="57" t="str">
        <x:v>Calendar</x:v>
      </x:c>
      <x:c r="B68" s="57" t="n">
        <x:v>4</x:v>
      </x:c>
      <x:c r="C68" s="59" t="str">
        <x:v>Assessment Borrower</x:v>
      </x:c>
      <x:c r="D68" s="59" t="str">
        <x:v>VC / Ref</x:v>
      </x:c>
      <x:c r="E68" s="57" t="str">
        <x:v>OLAP only</x:v>
      </x:c>
      <x:c r="F68" s="57" t="str">
        <x:v>-</x:v>
      </x:c>
      <x:c r="G68" s="59" t="str">
        <x:v>Reference key that links this row to the configured parent table.</x:v>
      </x:c>
      <x:c r="H68" s="59" t="str">
        <x:v>LOOKUP("MAIN", "Loan Assessment", "Assessment ID", "Ref Borrower")</x:v>
      </x:c>
    </x:row>
    <x:row r="69" ht="54" customHeight="1">
      <x:c r="A69" s="57" t="str">
        <x:v>Calendar</x:v>
      </x:c>
      <x:c r="B69" s="57" t="n">
        <x:v>5</x:v>
      </x:c>
      <x:c r="C69" s="59" t="str">
        <x:v>Assessment Minimum Rate</x:v>
      </x:c>
      <x:c r="D69" s="59" t="str">
        <x:v>VC / Percent</x:v>
      </x:c>
      <x:c r="E69" s="57" t="str">
        <x:v>OLAP only</x:v>
      </x:c>
      <x:c r="F69" s="57" t="str">
        <x:v>-</x:v>
      </x:c>
      <x:c r="G69" s="59" t="str">
        <x:v>Derived ratio or performance measure calculated from governed source values.</x:v>
      </x:c>
      <x:c r="H69" s="59" t="str">
        <x:v>LOOKUP("MAIN", "Loan Assessment", "Assessment ID", "Minimum Daily Profit Rate")</x:v>
      </x:c>
    </x:row>
    <x:row r="70" ht="15" customHeight="1">
      <x:c r="A70" s="57" t="str">
        <x:v>Calendar</x:v>
      </x:c>
      <x:c r="B70" s="57" t="n">
        <x:v>6</x:v>
      </x:c>
      <x:c r="C70" s="59" t="str">
        <x:v>Projected Outstanding Principal</x:v>
      </x:c>
      <x:c r="D70" s="59" t="str">
        <x:v>VC / Price</x:v>
      </x:c>
      <x:c r="E70" s="57" t="str">
        <x:v>OLAP only</x:v>
      </x:c>
      <x:c r="F70" s="57" t="str">
        <x:v>-</x:v>
      </x:c>
      <x:c r="G70" s="59" t="str">
        <x:v>Projected selected-borrower principal. Daily-installment balances start from current Outstanding Principal, subtract only contract principal after the latest posted Charge through the candidate date/Due Date, and do not go below zero.</x:v>
      </x:c>
      <x:c r="H70" s="59" t="str">
        <x:v>SUM(
  SELECT(
    Loans[Outstanding Principal],
    AND(
      [Ref Borrowers] = [_THISROW].[Assessment Borrower],
      [Loan Status] = "ยังไม่ปิดยอด",
      OR(
        [Loan Type] = "ดอกเบี้ยรายวัน",
        AND([Loan Type] = "กำหนดวันชำระ", [Due Date] &gt; [_THISROW].[Date])
      )
    )
  )
)
+ MAX(
  LIST(
    [Assessment Installment Future Principal Due] * 0,
    SUM(
      SELECT(
        Loans[Outstanding Principal],
        AND(
          [Ref Borrowers] = [_THISROW].[Assessment Borrower],
          [Loan Status] = "ยังไม่ปิดยอด",
          [Loan Type] = "ผ่อนชำระรายวัน",
          [Loan Date] &lt;= [_THISROW].[Date]
        )
      )
    )
    - SUM(
      SELECT(
        Calendar[Assessment Installment Future Principal Due],
        [Date] &lt;= [_THISROW].[Date]
      )
    )
  )
)</x:v>
      </x:c>
    </x:row>
    <x:row r="71" ht="21.600000381469727" customHeight="1">
      <x:c r="A71" s="57" t="str">
        <x:v>Calendar</x:v>
      </x:c>
      <x:c r="B71" s="57" t="n">
        <x:v>7</x:v>
      </x:c>
      <x:c r="C71" s="59" t="str">
        <x:v>Projected Interest</x:v>
      </x:c>
      <x:c r="D71" s="59" t="str">
        <x:v>VC / Price</x:v>
      </x:c>
      <x:c r="E71" s="57" t="str">
        <x:v>OLAP only</x:v>
      </x:c>
      <x:c r="F71" s="57" t="str">
        <x:v>-</x:v>
      </x:c>
      <x:c r="G71" s="59" t="str">
        <x:v>Actual selected-borrower interest received plus future daily-interest, fixed-date, and uncharged daily-installment interest. Daily-installment Transfer Fee is not projected again.</x:v>
      </x:c>
      <x:c r="H71" s="59" t="str">
        <x:v>SUM(
  SELECT(
    Loans[Total Interest Received],
    AND(
      [Ref Borrowers] = [_THISROW].[Assessment Borrower],
      [Loan Status] = "ยังไม่ปิดยอด"
    )
  )
)
+ (
  SUM(
    SELECT(
      Loans[Current Daily Interest],
      AND(
        [Ref Borrowers] = [_THISROW].[Assessment Borrower],
        [Loan Status] = "ยังไม่ปิดยอด",
        [Loan Type] = "ดอกเบี้ยรายวัน"
      )
    )
  )
  * IF([Date] &gt; TODAY(), TOTALHOURS([Date] - TODAY()) / 24, 0)
)
+ SUM(
  SELECT(
    Loans[Fixed Interest],
    AND(
      [Ref Borrowers] = [_THISROW].[Assessment Borrower],
      [Loan Status] = "ยังไม่ปิดยอด",
      [Loan Type] = "กำหนดวันชำระ",
      [Due Date] &gt; TODAY(),
      [Due Date] &lt;= [_THISROW].[Date]
    )
  )
)
+ SUM(
  SELECT(
    Calendar[Assessment Installment Future Interest Due],
    [Date] &lt;= [_THISROW].[Date]
  )
)</x:v>
      </x:c>
    </x:row>
    <x:row r="72" ht="21.600000381469727" customHeight="1">
      <x:c r="A72" s="57" t="str">
        <x:v>Calendar</x:v>
      </x:c>
      <x:c r="B72" s="57" t="n">
        <x:v>8</x:v>
      </x:c>
      <x:c r="C72" s="59" t="str">
        <x:v>Candidate Day Index</x:v>
      </x:c>
      <x:c r="D72" s="59" t="str">
        <x:v>VC / Decimal</x:v>
      </x:c>
      <x:c r="E72" s="57" t="str">
        <x:v>OLAP only</x:v>
      </x:c>
      <x:c r="F72" s="57" t="str">
        <x:v>-</x:v>
      </x:c>
      <x:c r="G72" s="59" t="str">
        <x:v>Derived date, time-window, age, or delinquency measure.</x:v>
      </x:c>
      <x:c r="H72" s="59" t="str">
        <x:v>TOTALHOURS( [Date] - DATE("01/01/2000")) / 24</x:v>
      </x:c>
    </x:row>
    <x:row r="73" ht="21.600000381469727" customHeight="1">
      <x:c r="A73" s="57" t="str">
        <x:v>Calendar</x:v>
      </x:c>
      <x:c r="B73" s="57" t="n">
        <x:v>9</x:v>
      </x:c>
      <x:c r="C73" s="59" t="str">
        <x:v>Assessment Principal Base</x:v>
      </x:c>
      <x:c r="D73" s="59" t="str">
        <x:v>VC / Price</x:v>
      </x:c>
      <x:c r="E73" s="57" t="str">
        <x:v>OLAP only</x:v>
      </x:c>
      <x:c r="F73" s="57" t="str">
        <x:v>-</x:v>
      </x:c>
      <x:c r="G73" s="59" t="str">
        <x:v>Principal base used by Minimum Required Profit; daily-installment exposure follows the declining contract balance.</x:v>
      </x:c>
      <x:c r="H73" s="59" t="str">
        <x:v>SUM(
  SELECT(
    Loans[Principal Amount],
    AND(
      [Ref Borrowers] = [_THISROW].[Assessment Borrower],
      [Loan Status] = "ยังไม่ปิดยอด",
      OR(
        [Loan Type] = "ดอกเบี้ยรายวัน",
        AND([Loan Type] = "กำหนดวันชำระ", [Due Date] &gt; [_THISROW].[Date])
      )
    )
  )
)
+ [Assessment Installment Contract Outstanding]</x:v>
      </x:c>
    </x:row>
    <x:row r="74" ht="15" customHeight="1">
      <x:c r="A74" s="57" t="str">
        <x:v>Calendar</x:v>
      </x:c>
      <x:c r="B74" s="57" t="n">
        <x:v>10</x:v>
      </x:c>
      <x:c r="C74" s="59" t="str">
        <x:v>Assessment Principal Start Weight</x:v>
      </x:c>
      <x:c r="D74" s="59" t="str">
        <x:v>VC / Decimal</x:v>
      </x:c>
      <x:c r="E74" s="57" t="str">
        <x:v>OLAP only</x:v>
      </x:c>
      <x:c r="F74" s="57" t="str">
        <x:v>-</x:v>
      </x:c>
      <x:c r="G74" s="59" t="str">
        <x:v>Principal-day start weight used by Minimum Required Profit; algebraically preserves cumulative declining daily-installment principal-days.</x:v>
      </x:c>
      <x:c r="H74" s="59" t="str">
        <x:v>SUM(
  SELECT(
    Loans[Principal Start Weight],
    AND(
      [Ref Borrowers] = [_THISROW].[Assessment Borrower],
      [Loan Status] = "ยังไม่ปิดยอด",
      OR(
        [Loan Type] = "ดอกเบี้ยรายวัน",
        AND([Loan Type] = "กำหนดวันชำระ", [Due Date] &gt; [_THISROW].[Date])
      )
    )
  )
)
+ (([Candidate Day Index] + 1) * [Assessment Installment Contract Outstanding])
- SUM(
  SELECT(
    Calendar[Assessment Installment Contract Outstanding],
    [Date] &lt;= [_THISROW].[Date]
  )
)</x:v>
      </x:c>
    </x:row>
    <x:row r="75" ht="15" customHeight="1">
      <x:c r="A75" s="57" t="str">
        <x:v>Calendar</x:v>
      </x:c>
      <x:c r="B75" s="57" t="n">
        <x:v>11</x:v>
      </x:c>
      <x:c r="C75" s="59" t="str">
        <x:v>Minimum Required Profit</x:v>
      </x:c>
      <x:c r="D75" s="59" t="str">
        <x:v>VC / Price</x:v>
      </x:c>
      <x:c r="E75" s="57" t="str">
        <x:v>OLAP only</x:v>
      </x:c>
      <x:c r="F75" s="57" t="str">
        <x:v>-</x:v>
      </x:c>
      <x:c r="G75" s="59" t="str">
        <x:v>Derived financial aggregate or balance for operational or analytical use.</x:v>
      </x:c>
      <x:c r="H75" s="59" t="str">
        <x:v>[Assessment Minimum Rate]* (( ( [Candidate Day Index] + 1 ) * [Assessment Principal Base] )- [Assessment Principal Start Weight])</x:v>
      </x:c>
    </x:row>
    <x:row r="76" ht="15" customHeight="1">
      <x:c r="A76" s="57" t="str">
        <x:v>Calendar</x:v>
      </x:c>
      <x:c r="B76" s="57" t="n">
        <x:v>12</x:v>
      </x:c>
      <x:c r="C76" s="59" t="str">
        <x:v>Required Coverage</x:v>
      </x:c>
      <x:c r="D76" s="59" t="str">
        <x:v>VC / Price</x:v>
      </x:c>
      <x:c r="E76" s="57" t="str">
        <x:v>OLAP only</x:v>
      </x:c>
      <x:c r="F76" s="57" t="str">
        <x:v>-</x:v>
      </x:c>
      <x:c r="G76" s="59" t="str">
        <x:v>Derived ratio or performance measure calculated from governed source values.</x:v>
      </x:c>
      <x:c r="H76" s="59" t="str">
        <x:v>[Projected Outstanding Principal]+[Assessment Proposed Amount]+[Minimum Required Profit]</x:v>
      </x:c>
    </x:row>
    <x:row r="77" ht="15" customHeight="1">
      <x:c r="A77" s="57" t="str">
        <x:v>Calendar</x:v>
      </x:c>
      <x:c r="B77" s="57" t="n">
        <x:v>13</x:v>
      </x:c>
      <x:c r="C77" s="59" t="str">
        <x:v>Coverage Margin</x:v>
      </x:c>
      <x:c r="D77" s="59" t="str">
        <x:v>VC / Price</x:v>
      </x:c>
      <x:c r="E77" s="57" t="str">
        <x:v>OLAP only</x:v>
      </x:c>
      <x:c r="F77" s="57" t="str">
        <x:v>-</x:v>
      </x:c>
      <x:c r="G77" s="59" t="str">
        <x:v>Derived ratio or performance measure calculated from governed source values.</x:v>
      </x:c>
      <x:c r="H77" s="59" t="str">
        <x:v>[Projected Interest] - [Required Coverage]</x:v>
      </x:c>
    </x:row>
    <x:row r="78" ht="15" customHeight="1">
      <x:c r="A78" s="57" t="str">
        <x:v>Calendar</x:v>
      </x:c>
      <x:c r="B78" s="57" t="n">
        <x:v>14</x:v>
      </x:c>
      <x:c r="C78" s="59" t="str">
        <x:v>Eligible</x:v>
      </x:c>
      <x:c r="D78" s="59" t="str">
        <x:v>VC / Yes/No</x:v>
      </x:c>
      <x:c r="E78" s="57" t="str">
        <x:v>OLAP only</x:v>
      </x:c>
      <x:c r="F78" s="57" t="str">
        <x:v>-</x:v>
      </x:c>
      <x:c r="G78" s="59" t="str">
        <x:v>Derived business-state or risk indicator.</x:v>
      </x:c>
      <x:c r="H78" s="59" t="str">
        <x:v>AND([Date] &gt;= TODAY(), [Projected Interest] &gt;= [Required Coverage])</x:v>
      </x:c>
    </x:row>
    <x:row r="79" ht="15" customHeight="1">
      <x:c r="A79" s="57" t="str">
        <x:v>Calendar</x:v>
      </x:c>
      <x:c r="B79" s="57" t="n">
        <x:v>15</x:v>
      </x:c>
      <x:c r="C79" s="59" t="str">
        <x:v>Year</x:v>
      </x:c>
      <x:c r="D79" s="59" t="str">
        <x:v>VC / Number</x:v>
      </x:c>
      <x:c r="E79" s="57" t="str">
        <x:v>OLAP only</x:v>
      </x:c>
      <x:c r="F79" s="57" t="str">
        <x:v>-</x:v>
      </x:c>
      <x:c r="G79" s="59" t="str">
        <x:v>Derived date, time-window, age, or delinquency measure.</x:v>
      </x:c>
      <x:c r="H79" s="59" t="str">
        <x:v>YEAR([Date])</x:v>
      </x:c>
    </x:row>
    <x:row r="80" ht="15" customHeight="1">
      <x:c r="A80" s="57" t="str">
        <x:v>Calendar</x:v>
      </x:c>
      <x:c r="B80" s="57" t="n">
        <x:v>16</x:v>
      </x:c>
      <x:c r="C80" s="59" t="str">
        <x:v>Month</x:v>
      </x:c>
      <x:c r="D80" s="59" t="str">
        <x:v>VC / Number</x:v>
      </x:c>
      <x:c r="E80" s="57" t="str">
        <x:v>OLAP only</x:v>
      </x:c>
      <x:c r="F80" s="57" t="str">
        <x:v>-</x:v>
      </x:c>
      <x:c r="G80" s="59" t="str">
        <x:v>Derived date, time-window, age, or delinquency measure.</x:v>
      </x:c>
      <x:c r="H80" s="59" t="str">
        <x:v>MONTH([Date])</x:v>
      </x:c>
    </x:row>
    <x:row r="81" ht="15" customHeight="1">
      <x:c r="A81" s="57" t="str">
        <x:v>Calendar</x:v>
      </x:c>
      <x:c r="B81" s="57" t="n">
        <x:v>17</x:v>
      </x:c>
      <x:c r="C81" s="59" t="str">
        <x:v>Month Name</x:v>
      </x:c>
      <x:c r="D81" s="59" t="str">
        <x:v>VC / Text</x:v>
      </x:c>
      <x:c r="E81" s="57" t="str">
        <x:v>OLAP only</x:v>
      </x:c>
      <x:c r="F81" s="57" t="str">
        <x:v>-</x:v>
      </x:c>
      <x:c r="G81" s="59" t="str">
        <x:v>Derived date, time-window, age, or delinquency measure.</x:v>
      </x:c>
      <x:c r="H81" s="59" t="str">
        <x:v>TEXT([Date], "MMMM")</x:v>
      </x:c>
    </x:row>
    <x:row r="82" ht="15" customHeight="1">
      <x:c r="A82" s="57" t="str">
        <x:v>Calendar</x:v>
      </x:c>
      <x:c r="B82" s="57" t="n">
        <x:v>18</x:v>
      </x:c>
      <x:c r="C82" s="59" t="str">
        <x:v>Year Month</x:v>
      </x:c>
      <x:c r="D82" s="59" t="str">
        <x:v>VC / Text</x:v>
      </x:c>
      <x:c r="E82" s="57" t="str">
        <x:v>OLAP only</x:v>
      </x:c>
      <x:c r="F82" s="57" t="str">
        <x:v>-</x:v>
      </x:c>
      <x:c r="G82" s="59" t="str">
        <x:v>Derived date, time-window, age, or delinquency measure.</x:v>
      </x:c>
      <x:c r="H82" s="59" t="str">
        <x:v>TEXT([Date], "YYYY-MM")</x:v>
      </x:c>
    </x:row>
    <x:row r="83" ht="15" customHeight="1">
      <x:c r="A83" s="57" t="str">
        <x:v>Calendar</x:v>
      </x:c>
      <x:c r="B83" s="57" t="n">
        <x:v>19</x:v>
      </x:c>
      <x:c r="C83" s="59" t="str">
        <x:v>Week</x:v>
      </x:c>
      <x:c r="D83" s="59" t="str">
        <x:v>VC / Number</x:v>
      </x:c>
      <x:c r="E83" s="57" t="str">
        <x:v>OLAP only</x:v>
      </x:c>
      <x:c r="F83" s="57" t="str">
        <x:v>-</x:v>
      </x:c>
      <x:c r="G83" s="59" t="str">
        <x:v>Derived date, time-window, age, or delinquency measure.</x:v>
      </x:c>
      <x:c r="H83" s="59" t="str">
        <x:v>WEEKNUM([Date])</x:v>
      </x:c>
    </x:row>
    <x:row r="84" ht="15" customHeight="1">
      <x:c r="A84" s="57" t="str">
        <x:v>Calendar</x:v>
      </x:c>
      <x:c r="B84" s="57" t="n">
        <x:v>20</x:v>
      </x:c>
      <x:c r="C84" s="59" t="str">
        <x:v>Year Week</x:v>
      </x:c>
      <x:c r="D84" s="59" t="str">
        <x:v>VC / Text</x:v>
      </x:c>
      <x:c r="E84" s="57" t="str">
        <x:v>OLAP only</x:v>
      </x:c>
      <x:c r="F84" s="57" t="str">
        <x:v>-</x:v>
      </x:c>
      <x:c r="G84" s="59" t="str">
        <x:v>Derived date, time-window, age, or delinquency measure.</x:v>
      </x:c>
      <x:c r="H84" s="59" t="str">
        <x:v>CONCATENATE(YEAR([Date]), "-W", RIGHT("0" &amp; WEEKNUM([Date]), 2))</x:v>
      </x:c>
    </x:row>
    <x:row r="85" ht="15" customHeight="1">
      <x:c r="A85" s="57" t="str">
        <x:v>Calendar</x:v>
      </x:c>
      <x:c r="B85" s="57" t="n">
        <x:v>21</x:v>
      </x:c>
      <x:c r="C85" s="59" t="str">
        <x:v>Week Start</x:v>
      </x:c>
      <x:c r="D85" s="59" t="str">
        <x:v>VC / Date</x:v>
      </x:c>
      <x:c r="E85" s="57" t="str">
        <x:v>OLAP only</x:v>
      </x:c>
      <x:c r="F85" s="57" t="str">
        <x:v>-</x:v>
      </x:c>
      <x:c r="G85" s="59" t="str">
        <x:v>Derived date, time-window, age, or delinquency measure.</x:v>
      </x:c>
      <x:c r="H85" s="59" t="str">
        <x:v>[Date] - MOD(WEEKDAY([Date]) + 5, 7)</x:v>
      </x:c>
    </x:row>
    <x:row r="86" ht="15" customHeight="1">
      <x:c r="A86" s="57" t="str">
        <x:v>Calendar</x:v>
      </x:c>
      <x:c r="B86" s="57" t="n">
        <x:v>22</x:v>
      </x:c>
      <x:c r="C86" s="59" t="str">
        <x:v>Quarter</x:v>
      </x:c>
      <x:c r="D86" s="59" t="str">
        <x:v>VC / Text</x:v>
      </x:c>
      <x:c r="E86" s="57" t="str">
        <x:v>OLAP only</x:v>
      </x:c>
      <x:c r="F86" s="57" t="str">
        <x:v>-</x:v>
      </x:c>
      <x:c r="G86" s="59" t="str">
        <x:v>Derived AppSheet value used by the app workflow, presentation, or reporting model.</x:v>
      </x:c>
      <x:c r="H86" s="59" t="str">
        <x:v>CONCATENATE( "Q", CEILING(MONTH([Date]) / 3))</x:v>
      </x:c>
    </x:row>
    <x:row r="87" ht="15" customHeight="1">
      <x:c r="A87" s="57" t="str">
        <x:v>Calendar</x:v>
      </x:c>
      <x:c r="B87" s="57" t="n">
        <x:v>23</x:v>
      </x:c>
      <x:c r="C87" s="59" t="str">
        <x:v>Day of Week</x:v>
      </x:c>
      <x:c r="D87" s="59" t="str">
        <x:v>VC / Text</x:v>
      </x:c>
      <x:c r="E87" s="57" t="str">
        <x:v>OLAP only</x:v>
      </x:c>
      <x:c r="F87" s="57" t="str">
        <x:v>-</x:v>
      </x:c>
      <x:c r="G87" s="59" t="str">
        <x:v>Derived date, time-window, age, or delinquency measure.</x:v>
      </x:c>
      <x:c r="H87" s="59" t="str">
        <x:v>TEXT([Date], "dddd")</x:v>
      </x:c>
    </x:row>
    <x:row r="88" ht="15" customHeight="1">
      <x:c r="A88" s="57" t="str">
        <x:v>Calendar</x:v>
      </x:c>
      <x:c r="B88" s="57" t="n">
        <x:v>24</x:v>
      </x:c>
      <x:c r="C88" s="59" t="str">
        <x:v>Day of Month</x:v>
      </x:c>
      <x:c r="D88" s="59" t="str">
        <x:v>VC / Number</x:v>
      </x:c>
      <x:c r="E88" s="57" t="str">
        <x:v>OLAP only</x:v>
      </x:c>
      <x:c r="F88" s="57" t="str">
        <x:v>-</x:v>
      </x:c>
      <x:c r="G88" s="59" t="str">
        <x:v>Derived date, time-window, age, or delinquency measure.</x:v>
      </x:c>
      <x:c r="H88" s="59" t="str">
        <x:v>DAY([Date])</x:v>
      </x:c>
    </x:row>
    <x:row r="89" ht="15" customHeight="1">
      <x:c r="A89" s="57" t="str">
        <x:v>Calendar</x:v>
      </x:c>
      <x:c r="B89" s="57" t="n">
        <x:v>25</x:v>
      </x:c>
      <x:c r="C89" s="59" t="str">
        <x:v>Assessment Installment Contract Principal Due</x:v>
      </x:c>
      <x:c r="D89" s="59" t="str">
        <x:v>VC / Price</x:v>
      </x:c>
      <x:c r="E89" s="57" t="str">
        <x:v>OLAP only</x:v>
      </x:c>
      <x:c r="F89" s="57" t="str">
        <x:v>Hidden; whole baht</x:v>
      </x:c>
      <x:c r="G89" s="59" t="str">
        <x:v>Whole-baht scheduled principal for the candidate Calendar date; FLOOR base plus one baht on the earliest remainder days.</x:v>
      </x:c>
      <x:c r="H89" s="59" t="str">
        <x:v>SUM(
  SELECT(
    Loans[Daily Installment Base Principal],
    AND(
      [Ref Borrowers] = [_THISROW].[Assessment Borrower],
      [Loan Status] = "ยังไม่ปิดยอด",
      [Loan Type] = "ผ่อนชำระรายวัน",
      [Loan Date] &lt;= [_THISROW].[Date],
      [Due Date] &gt;= [_THISROW].[Date],
      [Due Date] &gt;= [Loan Date],
      [Daily Payment Amount] &gt; 0
    )
  )
)
+ COUNT(
  SELECT(
    Loans[Row ID],
    AND(
      [Ref Borrowers] = [_THISROW].[Assessment Borrower],
      [Loan Status] = "ยังไม่ปิดยอด",
      [Loan Type] = "ผ่อนชำระรายวัน",
      [Loan Date] &lt;= [_THISROW].[Date],
      [Due Date] &gt;= [_THISROW].[Date],
      [Due Date] &gt;= [Loan Date],
      [Daily Payment Amount] &gt; 0,
      (TOTALHOURS([_THISROW].[Date] - [Loan Date]) / 24 + 1)
      &lt;= MOD(
        [Principal Amount],
        (TOTALHOURS([Due Date] - [Loan Date]) / 24 + 1)
      )
    )
  )
)</x:v>
      </x:c>
    </x:row>
    <x:row r="90" ht="15" customHeight="1">
      <x:c r="A90" s="57" t="str">
        <x:v>Calendar</x:v>
      </x:c>
      <x:c r="B90" s="57" t="n">
        <x:v>26</x:v>
      </x:c>
      <x:c r="C90" s="59" t="str">
        <x:v>Assessment Installment Future Principal Due</x:v>
      </x:c>
      <x:c r="D90" s="59" t="str">
        <x:v>VC / Price</x:v>
      </x:c>
      <x:c r="E90" s="57" t="str">
        <x:v>OLAP only</x:v>
      </x:c>
      <x:c r="F90" s="57" t="str">
        <x:v>Hidden; whole baht</x:v>
      </x:c>
      <x:c r="G90" s="59" t="str">
        <x:v>Whole-baht scheduled principal after each loan's latest posted Charge through its Due Date.</x:v>
      </x:c>
      <x:c r="H90" s="59" t="str">
        <x:v>SUM(
  SELECT(
    Loans[Daily Installment Base Principal],
    AND(
      [Ref Borrowers] = [_THISROW].[Assessment Borrower],
      [Loan Status] = "ยังไม่ปิดยอด",
      [Loan Type] = "ผ่อนชำระรายวัน",
      [Loan Date] &lt;= [_THISROW].[Date],
      [Due Date] &gt;= [_THISROW].[Date],
      [Due Date] &gt;= [Loan Date],
      [Daily Payment Amount] &gt; 0,
      [_THISROW].[Date] &gt; IF(
        ISNOTBLANK(MAX([Related Charges][Charge Date])),
        MAX([Related Charges][Charge Date]),
        [Loan Date] - 1
      )
    )
  )
)
+ COUNT(
  SELECT(
    Loans[Row ID],
    AND(
      [Ref Borrowers] = [_THISROW].[Assessment Borrower],
      [Loan Status] = "ยังไม่ปิดยอด",
      [Loan Type] = "ผ่อนชำระรายวัน",
      [Loan Date] &lt;= [_THISROW].[Date],
      [Due Date] &gt;= [_THISROW].[Date],
      [Due Date] &gt;= [Loan Date],
      [Daily Payment Amount] &gt; 0,
      [_THISROW].[Date] &gt; IF(
        ISNOTBLANK(MAX([Related Charges][Charge Date])),
        MAX([Related Charges][Charge Date]),
        [Loan Date] - 1
      ),
      (TOTALHOURS([_THISROW].[Date] - [Loan Date]) / 24 + 1)
      &lt;= MOD(
        [Principal Amount],
        (TOTALHOURS([Due Date] - [Loan Date]) / 24 + 1)
      )
    )
  )
)</x:v>
      </x:c>
    </x:row>
    <x:row r="91" ht="15" customHeight="1">
      <x:c r="A91" s="57" t="str">
        <x:v>Calendar</x:v>
      </x:c>
      <x:c r="B91" s="57" t="n">
        <x:v>27</x:v>
      </x:c>
      <x:c r="C91" s="59" t="str">
        <x:v>Assessment Installment Future Interest Due</x:v>
      </x:c>
      <x:c r="D91" s="59" t="str">
        <x:v>VC / Price</x:v>
      </x:c>
      <x:c r="E91" s="57" t="str">
        <x:v>OLAP only</x:v>
      </x:c>
      <x:c r="F91" s="57" t="str">
        <x:v>Hidden; whole baht</x:v>
      </x:c>
      <x:c r="G91" s="59" t="str">
        <x:v>Scheduled daily-installment payment after the latest Charge minus future scheduled principal; Transfer Fee excluded.</x:v>
      </x:c>
      <x:c r="H91" s="59" t="str">
        <x:v>SUM(
  SELECT(
    Loans[Daily Payment Amount],
    AND(
      [Ref Borrowers] = [_THISROW].[Assessment Borrower],
      [Loan Status] = "ยังไม่ปิดยอด",
      [Loan Type] = "ผ่อนชำระรายวัน",
      [Loan Date] &lt;= [_THISROW].[Date],
      [Due Date] &gt;= [_THISROW].[Date],
      [Due Date] &gt;= [Loan Date],
      [Daily Payment Amount] &gt; 0,
      [_THISROW].[Date] &gt; IF(
        ISNOTBLANK(MAX([Related Charges][Charge Date])),
        MAX([Related Charges][Charge Date]),
        [Loan Date] - 1
      )
    )
  )
)
- [Assessment Installment Future Principal Due]</x:v>
      </x:c>
    </x:row>
    <x:row r="92" ht="15" customHeight="1">
      <x:c r="A92" s="57" t="str">
        <x:v>Calendar</x:v>
      </x:c>
      <x:c r="B92" s="57" t="n">
        <x:v>28</x:v>
      </x:c>
      <x:c r="C92" s="59" t="str">
        <x:v>Assessment Installment Contract Outstanding</x:v>
      </x:c>
      <x:c r="D92" s="59" t="str">
        <x:v>VC / Price</x:v>
      </x:c>
      <x:c r="E92" s="57" t="str">
        <x:v>OLAP only</x:v>
      </x:c>
      <x:c r="F92" s="57" t="str">
        <x:v>Hidden; whole baht</x:v>
      </x:c>
      <x:c r="G92" s="59" t="str">
        <x:v>Nonnegative deterministic daily-installment contract balance after cumulative scheduled principal through the Calendar date.</x:v>
      </x:c>
      <x:c r="H92" s="59" t="str">
        <x:v>MAX(
  LIST(
    [Assessment Installment Contract Principal Due] * 0,
    SUM(
      SELECT(
        Loans[Principal Amount],
        AND(
          [Ref Borrowers] = [_THISROW].[Assessment Borrower],
          [Loan Status] = "ยังไม่ปิดยอด",
          [Loan Type] = "ผ่อนชำระรายวัน",
          [Loan Date] &lt;= [_THISROW].[Date],
          [Due Date] &gt;= [Loan Date],
          [Daily Payment Amount] &gt; 0
        )
      )
    )
    - SUM(
      SELECT(
        Calendar[Assessment Installment Contract Principal Due],
        [Date] &lt;= [_THISROW].[Date]
      )
    )
  )
)</x:v>
      </x:c>
    </x:row>
    <x:row r="93" ht="15" customHeight="1">
      <x:c r="A93" s="57" t="str">
        <x:v>Cash Pool Contributions</x:v>
      </x:c>
      <x:c r="B93" s="57" t="n">
        <x:v>1</x:v>
      </x:c>
      <x:c r="C93" s="59" t="str">
        <x:v>_RowNumber</x:v>
      </x:c>
      <x:c r="D93" s="59" t="str">
        <x:v>Physical / Number</x:v>
      </x:c>
      <x:c r="E93" s="57" t="str">
        <x:v>OLAP only</x:v>
      </x:c>
      <x:c r="F93" s="57" t="str">
        <x:v>-</x:v>
      </x:c>
      <x:c r="G93" s="59" t="str">
        <x:v>System-generated source-row ordinal; not a stable business key.</x:v>
      </x:c>
      <x:c r="H93" s="59" t="str">
        <x:v>Stored source column</x:v>
      </x:c>
    </x:row>
    <x:row r="94" ht="15" customHeight="1">
      <x:c r="A94" s="57" t="str">
        <x:v>Cash Pool Contributions</x:v>
      </x:c>
      <x:c r="B94" s="57" t="n">
        <x:v>2</x:v>
      </x:c>
      <x:c r="C94" s="59" t="str">
        <x:v>Row ID</x:v>
      </x:c>
      <x:c r="D94" s="59" t="str">
        <x:v>Physical / Text</x:v>
      </x:c>
      <x:c r="E94" s="57" t="str">
        <x:v>OLAP only</x:v>
      </x:c>
      <x:c r="F94" s="57" t="str">
        <x:v>Key, Required</x:v>
      </x:c>
      <x:c r="G94" s="59" t="str">
        <x:v>Immutable row key generated by the source database.</x:v>
      </x:c>
      <x:c r="H94" s="59" t="str">
        <x:v>Stored source column; initial value: UNIQUEID("PackedUUID")</x:v>
      </x:c>
    </x:row>
    <x:row r="95" ht="15" customHeight="1">
      <x:c r="A95" s="57" t="str">
        <x:v>Cash Pool Contributions</x:v>
      </x:c>
      <x:c r="B95" s="57" t="n">
        <x:v>3</x:v>
      </x:c>
      <x:c r="C95" s="59" t="str">
        <x:v>Ref Partner</x:v>
      </x:c>
      <x:c r="D95" s="59" t="str">
        <x:v>Physical / Ref</x:v>
      </x:c>
      <x:c r="E95" s="57" t="str">
        <x:v>OLAP only</x:v>
      </x:c>
      <x:c r="F95" s="57" t="str">
        <x:v>Required</x:v>
      </x:c>
      <x:c r="G95" s="59" t="str">
        <x:v>Reference key that links this row to the configured parent table.</x:v>
      </x:c>
      <x:c r="H95" s="59" t="str">
        <x:v>Stored source column</x:v>
      </x:c>
    </x:row>
    <x:row r="96" ht="15" customHeight="1">
      <x:c r="A96" s="57" t="str">
        <x:v>Cash Pool Contributions</x:v>
      </x:c>
      <x:c r="B96" s="57" t="n">
        <x:v>4</x:v>
      </x:c>
      <x:c r="C96" s="59" t="str">
        <x:v>Contribution Date</x:v>
      </x:c>
      <x:c r="D96" s="59" t="str">
        <x:v>Physical / Date</x:v>
      </x:c>
      <x:c r="E96" s="57" t="str">
        <x:v>OLAP only</x:v>
      </x:c>
      <x:c r="F96" s="57" t="str">
        <x:v>Label, Required</x:v>
      </x:c>
      <x:c r="G96" s="59" t="str">
        <x:v>Stores the source date for Contribution Date.</x:v>
      </x:c>
      <x:c r="H96" s="59" t="str">
        <x:v>Stored source column; initial value: TODAY()</x:v>
      </x:c>
    </x:row>
    <x:row r="97" ht="15" customHeight="1">
      <x:c r="A97" s="57" t="str">
        <x:v>Cash Pool Contributions</x:v>
      </x:c>
      <x:c r="B97" s="57" t="n">
        <x:v>5</x:v>
      </x:c>
      <x:c r="C97" s="59" t="str">
        <x:v>Transaction Type</x:v>
      </x:c>
      <x:c r="D97" s="59" t="str">
        <x:v>Physical / Enum</x:v>
      </x:c>
      <x:c r="E97" s="57" t="str">
        <x:v>OLAP only</x:v>
      </x:c>
      <x:c r="F97" s="57" t="str">
        <x:v>Required</x:v>
      </x:c>
      <x:c r="G97" s="59" t="str">
        <x:v>Stores the authoritative source value for Transaction Type.</x:v>
      </x:c>
      <x:c r="H97" s="59" t="str">
        <x:v>Stored source column; initial value: "Contribution"</x:v>
      </x:c>
    </x:row>
    <x:row r="98" ht="15" customHeight="1">
      <x:c r="A98" s="57" t="str">
        <x:v>Cash Pool Contributions</x:v>
      </x:c>
      <x:c r="B98" s="57" t="n">
        <x:v>6</x:v>
      </x:c>
      <x:c r="C98" s="59" t="str">
        <x:v>Amount</x:v>
      </x:c>
      <x:c r="D98" s="59" t="str">
        <x:v>Physical / Price</x:v>
      </x:c>
      <x:c r="E98" s="57" t="str">
        <x:v>OLAP only</x:v>
      </x:c>
      <x:c r="F98" s="57" t="str">
        <x:v>Required</x:v>
      </x:c>
      <x:c r="G98" s="59" t="str">
        <x:v>Stores the financially material source value for Amount.</x:v>
      </x:c>
      <x:c r="H98" s="59" t="str">
        <x:v>Stored source column</x:v>
      </x:c>
    </x:row>
    <x:row r="99" ht="15" customHeight="1">
      <x:c r="A99" s="57" t="str">
        <x:v>Cash Pool Contributions</x:v>
      </x:c>
      <x:c r="B99" s="57" t="n">
        <x:v>7</x:v>
      </x:c>
      <x:c r="C99" s="59" t="str">
        <x:v>Notes</x:v>
      </x:c>
      <x:c r="D99" s="59" t="str">
        <x:v>Physical / Text</x:v>
      </x:c>
      <x:c r="E99" s="57" t="str">
        <x:v>OLAP only</x:v>
      </x:c>
      <x:c r="F99" s="57" t="str">
        <x:v>-</x:v>
      </x:c>
      <x:c r="G99" s="59" t="str">
        <x:v>Stores the authoritative source value for Notes.</x:v>
      </x:c>
      <x:c r="H99" s="59" t="str">
        <x:v>Stored source column</x:v>
      </x:c>
    </x:row>
    <x:row r="100" ht="15" customHeight="1">
      <x:c r="A100" s="57" t="str">
        <x:v>Cash Pool Contributions</x:v>
      </x:c>
      <x:c r="B100" s="57" t="n">
        <x:v>8</x:v>
      </x:c>
      <x:c r="C100" s="59" t="str">
        <x:v>Net Contribution</x:v>
      </x:c>
      <x:c r="D100" s="59" t="str">
        <x:v>VC / Price</x:v>
      </x:c>
      <x:c r="E100" s="57" t="str">
        <x:v>OLAP only</x:v>
      </x:c>
      <x:c r="F100" s="57" t="str">
        <x:v>-</x:v>
      </x:c>
      <x:c r="G100" s="59" t="str">
        <x:v>Derived financial aggregate or balance for operational or analytical use.</x:v>
      </x:c>
      <x:c r="H100" s="59" t="str">
        <x:v>IF([Transaction Type] = "Contribution", [Amount], -[Amount])</x:v>
      </x:c>
    </x:row>
    <x:row r="101" ht="15" customHeight="1">
      <x:c r="A101" s="57" t="str">
        <x:v>Cash Pool Contributions</x:v>
      </x:c>
      <x:c r="B101" s="57" t="n">
        <x:v>9</x:v>
      </x:c>
      <x:c r="C101" s="59" t="str">
        <x:v>Transaction Type TE</x:v>
      </x:c>
      <x:c r="D101" s="59" t="str">
        <x:v>VC / Text</x:v>
      </x:c>
      <x:c r="E101" s="57" t="str">
        <x:v>OLAP only</x:v>
      </x:c>
      <x:c r="F101" s="57" t="str">
        <x:v>-</x:v>
      </x:c>
      <x:c r="G101" s="59" t="str">
        <x:v>Presentation-oriented label or bilingual display value.</x:v>
      </x:c>
      <x:c r="H101" s="59" t="str">
        <x:v>IF( [Transaction Type] = "Contribution", "เพิ่มเงิน - Contribution", "ถอนเงิน - Withdrawal")</x:v>
      </x:c>
    </x:row>
    <x:row r="102" ht="15" customHeight="1">
      <x:c r="A102" s="57" t="str">
        <x:v>Charges</x:v>
      </x:c>
      <x:c r="B102" s="57" t="n">
        <x:v>1</x:v>
      </x:c>
      <x:c r="C102" s="59" t="str">
        <x:v>_RowNumber</x:v>
      </x:c>
      <x:c r="D102" s="59" t="str">
        <x:v>Physical / Number</x:v>
      </x:c>
      <x:c r="E102" s="57" t="str">
        <x:v>OLTP + OLAP</x:v>
      </x:c>
      <x:c r="F102" s="57" t="str">
        <x:v>-</x:v>
      </x:c>
      <x:c r="G102" s="59" t="str">
        <x:v>System-generated source-row ordinal; not a stable business key.</x:v>
      </x:c>
      <x:c r="H102" s="59" t="str">
        <x:v>Stored source column</x:v>
      </x:c>
    </x:row>
    <x:row r="103" ht="15" customHeight="1">
      <x:c r="A103" s="57" t="str">
        <x:v>Charges</x:v>
      </x:c>
      <x:c r="B103" s="57" t="n">
        <x:v>2</x:v>
      </x:c>
      <x:c r="C103" s="59" t="str">
        <x:v>Row ID</x:v>
      </x:c>
      <x:c r="D103" s="59" t="str">
        <x:v>Physical / Text</x:v>
      </x:c>
      <x:c r="E103" s="57" t="str">
        <x:v>OLTP + OLAP</x:v>
      </x:c>
      <x:c r="F103" s="57" t="str">
        <x:v>Key, Required</x:v>
      </x:c>
      <x:c r="G103" s="59" t="str">
        <x:v>Immutable row key generated by the source database.</x:v>
      </x:c>
      <x:c r="H103" s="59" t="str">
        <x:v>Stored source column; initial value: UNIQUEID("PackedUUID")</x:v>
      </x:c>
    </x:row>
    <x:row r="104" ht="15" customHeight="1">
      <x:c r="A104" s="57" t="str">
        <x:v>Charges</x:v>
      </x:c>
      <x:c r="B104" s="57" t="n">
        <x:v>3</x:v>
      </x:c>
      <x:c r="C104" s="59" t="str">
        <x:v>Ref Loans</x:v>
      </x:c>
      <x:c r="D104" s="59" t="str">
        <x:v>Physical / Ref</x:v>
      </x:c>
      <x:c r="E104" s="57" t="str">
        <x:v>OLTP + OLAP</x:v>
      </x:c>
      <x:c r="F104" s="57" t="str">
        <x:v>OLTP Required</x:v>
      </x:c>
      <x:c r="G104" s="59" t="str">
        <x:v>Required OLTP parent-loan reference used to preserve Charge ownership and borrower/Collection dereferences.</x:v>
      </x:c>
      <x:c r="H104" s="59" t="str">
        <x:v>Stored source column; OLTP Required = TRUE</x:v>
      </x:c>
    </x:row>
    <x:row r="105" ht="15" customHeight="1">
      <x:c r="A105" s="57" t="str">
        <x:v>Charges</x:v>
      </x:c>
      <x:c r="B105" s="57" t="n">
        <x:v>4</x:v>
      </x:c>
      <x:c r="C105" s="59" t="str">
        <x:v>Charge Date</x:v>
      </x:c>
      <x:c r="D105" s="59" t="str">
        <x:v>Physical / Date</x:v>
      </x:c>
      <x:c r="E105" s="57" t="str">
        <x:v>OLTP + OLAP</x:v>
      </x:c>
      <x:c r="F105" s="57" t="str">
        <x:v>Label, Required</x:v>
      </x:c>
      <x:c r="G105" s="59" t="str">
        <x:v>Stores the source date for Charge Date.</x:v>
      </x:c>
      <x:c r="H105" s="59" t="str">
        <x:v>Stored source column; initial value: TODAY()</x:v>
      </x:c>
    </x:row>
    <x:row r="106" ht="21.600000381469727" customHeight="1">
      <x:c r="A106" s="57" t="str">
        <x:v>Charges</x:v>
      </x:c>
      <x:c r="B106" s="57" t="n">
        <x:v>5</x:v>
      </x:c>
      <x:c r="C106" s="59" t="str">
        <x:v>Interest Due</x:v>
      </x:c>
      <x:c r="D106" s="59" t="str">
        <x:v>Physical / Price</x:v>
      </x:c>
      <x:c r="E106" s="57" t="str">
        <x:v>OLTP + OLAP</x:v>
      </x:c>
      <x:c r="F106" s="57" t="str">
        <x:v>Required</x:v>
      </x:c>
      <x:c r="G106" s="59" t="str">
        <x:v>Stores the financially material source value for Interest Due.</x:v>
      </x:c>
      <x:c r="H106" s="59" t="str">
        <x:v>Stored source column; initial value: 0; OLTP Valid_If: OR([Principal Due] &lt;&gt; 0, [_THIS] &lt;&gt; 0)</x:v>
      </x:c>
    </x:row>
    <x:row r="107" ht="15" customHeight="1">
      <x:c r="A107" s="57" t="str">
        <x:v>Charges</x:v>
      </x:c>
      <x:c r="B107" s="57" t="n">
        <x:v>6</x:v>
      </x:c>
      <x:c r="C107" s="59" t="str">
        <x:v>Principal Due</x:v>
      </x:c>
      <x:c r="D107" s="59" t="str">
        <x:v>Physical / Price</x:v>
      </x:c>
      <x:c r="E107" s="57" t="str">
        <x:v>OLTP + OLAP</x:v>
      </x:c>
      <x:c r="F107" s="57" t="str">
        <x:v>Required</x:v>
      </x:c>
      <x:c r="G107" s="59" t="str">
        <x:v>Stores the financially material source value for Principal Due.</x:v>
      </x:c>
      <x:c r="H107" s="59" t="str">
        <x:v>Stored source column; initial value: 0; OLTP Valid_If: [_THIS] &gt;= 0</x:v>
      </x:c>
    </x:row>
    <x:row r="108" ht="15" customHeight="1">
      <x:c r="A108" s="57" t="str">
        <x:v>Charges</x:v>
      </x:c>
      <x:c r="B108" s="57" t="n">
        <x:v>7</x:v>
      </x:c>
      <x:c r="C108" s="59" t="str">
        <x:v>Notes</x:v>
      </x:c>
      <x:c r="D108" s="59" t="str">
        <x:v>Physical / LongText</x:v>
      </x:c>
      <x:c r="E108" s="57" t="str">
        <x:v>OLTP + OLAP</x:v>
      </x:c>
      <x:c r="F108" s="57" t="str">
        <x:v>-</x:v>
      </x:c>
      <x:c r="G108" s="59" t="str">
        <x:v>Stores the authoritative source value for Notes.</x:v>
      </x:c>
      <x:c r="H108" s="59" t="str">
        <x:v>Stored source column</x:v>
      </x:c>
    </x:row>
    <x:row r="109" ht="21.600000381469727" customHeight="1">
      <x:c r="A109" s="57" t="str">
        <x:v>Charges</x:v>
      </x:c>
      <x:c r="B109" s="57" t="n">
        <x:v>8</x:v>
      </x:c>
      <x:c r="C109" s="59" t="str">
        <x:v>Amount Due</x:v>
      </x:c>
      <x:c r="D109" s="59" t="str">
        <x:v>VC / Price</x:v>
      </x:c>
      <x:c r="E109" s="57" t="str">
        <x:v>OLTP + OLAP</x:v>
      </x:c>
      <x:c r="F109" s="57" t="str">
        <x:v>-</x:v>
      </x:c>
      <x:c r="G109" s="59" t="str">
        <x:v>Derived financial aggregate or balance for operational or analytical use.</x:v>
      </x:c>
      <x:c r="H109" s="59" t="str">
        <x:v>[Principal Due] + [Interest Due]</x:v>
      </x:c>
    </x:row>
    <x:row r="110" ht="15" customHeight="1">
      <x:c r="A110" s="57" t="str">
        <x:v>Charges</x:v>
      </x:c>
      <x:c r="B110" s="57" t="n">
        <x:v>9</x:v>
      </x:c>
      <x:c r="C110" s="59" t="str">
        <x:v>Borrower Name</x:v>
      </x:c>
      <x:c r="D110" s="59" t="str">
        <x:v>VC / Name</x:v>
      </x:c>
      <x:c r="E110" s="57" t="str">
        <x:v>OLTP + OLAP</x:v>
      </x:c>
      <x:c r="F110" s="57" t="str">
        <x:v>-</x:v>
      </x:c>
      <x:c r="G110" s="59" t="str">
        <x:v>Derived AppSheet value used by the app workflow, presentation, or reporting model.</x:v>
      </x:c>
      <x:c r="H110" s="59" t="str">
        <x:v>[Ref Loans].[Borrower Name]</x:v>
      </x:c>
    </x:row>
    <x:row r="111" ht="15" customHeight="1">
      <x:c r="A111" s="57" t="str">
        <x:v>Charges</x:v>
      </x:c>
      <x:c r="B111" s="57" t="n">
        <x:v>10</x:v>
      </x:c>
      <x:c r="C111" s="59" t="str">
        <x:v>Related Repayments</x:v>
      </x:c>
      <x:c r="D111" s="59" t="str">
        <x:v>VC / List</x:v>
      </x:c>
      <x:c r="E111" s="57" t="str">
        <x:v>OLTP + OLAP</x:v>
      </x:c>
      <x:c r="F111" s="57" t="str">
        <x:v>-</x:v>
      </x:c>
      <x:c r="G111" s="59" t="str">
        <x:v>Reverse-reference list of child rows that point to this record.</x:v>
      </x:c>
      <x:c r="H111" s="59" t="str">
        <x:v>REF_ROWS("Repayments", "Ref Charges")</x:v>
      </x:c>
    </x:row>
    <x:row r="112" ht="15" customHeight="1">
      <x:c r="A112" s="57" t="str">
        <x:v>Charges</x:v>
      </x:c>
      <x:c r="B112" s="57" t="n">
        <x:v>11</x:v>
      </x:c>
      <x:c r="C112" s="59" t="str">
        <x:v>Payment Status</x:v>
      </x:c>
      <x:c r="D112" s="59" t="str">
        <x:v>VC / Text</x:v>
      </x:c>
      <x:c r="E112" s="57" t="str">
        <x:v>OLTP + OLAP</x:v>
      </x:c>
      <x:c r="F112" s="57" t="str">
        <x:v>-</x:v>
      </x:c>
      <x:c r="G112" s="59" t="str">
        <x:v>Derived business-state or risk indicator.</x:v>
      </x:c>
      <x:c r="H112" s="59" t="str">
        <x:v>IFS( [Ref Loans].[Loan Status] = "ปิดยอดแล้ว", "ชำระแล้ว", [Total Paid] = 0, "รอชำระ", [Amount Remaining] &gt; 0, "ชำระบางส่วน", TRUE, "ชำระแล้ว")</x:v>
      </x:c>
    </x:row>
    <x:row r="113" ht="15" customHeight="1">
      <x:c r="A113" s="57" t="str">
        <x:v>Charges</x:v>
      </x:c>
      <x:c r="B113" s="57" t="n">
        <x:v>12</x:v>
      </x:c>
      <x:c r="C113" s="59" t="str">
        <x:v>Payment Date</x:v>
      </x:c>
      <x:c r="D113" s="59" t="str">
        <x:v>VC / Date</x:v>
      </x:c>
      <x:c r="E113" s="57" t="str">
        <x:v>OLTP + OLAP</x:v>
      </x:c>
      <x:c r="F113" s="57" t="str">
        <x:v>-</x:v>
      </x:c>
      <x:c r="G113" s="59" t="str">
        <x:v>Date on which the charge became fully paid. Display name in both apps: วันที่ชำระครบ / Paid in Full Date.</x:v>
      </x:c>
      <x:c r="H113" s="59" t="str">
        <x:v>IF([Payment Status] = "ชำระแล้ว", MAX([Related Repayments][Payment Date]), "")</x:v>
      </x:c>
    </x:row>
    <x:row r="114" ht="15" customHeight="1">
      <x:c r="A114" s="57" t="str">
        <x:v>Charges</x:v>
      </x:c>
      <x:c r="B114" s="57" t="n">
        <x:v>13</x:v>
      </x:c>
      <x:c r="C114" s="59" t="str">
        <x:v>Borrower Name TE</x:v>
      </x:c>
      <x:c r="D114" s="59" t="str">
        <x:v>VC / Text</x:v>
      </x:c>
      <x:c r="E114" s="57" t="str">
        <x:v>OLTP + OLAP</x:v>
      </x:c>
      <x:c r="F114" s="57" t="str">
        <x:v>-</x:v>
      </x:c>
      <x:c r="G114" s="59" t="str">
        <x:v>Presentation-oriented label or bilingual display value.</x:v>
      </x:c>
      <x:c r="H114" s="59" t="str">
        <x:v>[Ref Loans].[Borrower Name TE]</x:v>
      </x:c>
    </x:row>
    <x:row r="115" ht="15" customHeight="1">
      <x:c r="A115" s="57" t="str">
        <x:v>Charges</x:v>
      </x:c>
      <x:c r="B115" s="57" t="n">
        <x:v>14</x:v>
      </x:c>
      <x:c r="C115" s="59" t="str">
        <x:v>Payment Status TE</x:v>
      </x:c>
      <x:c r="D115" s="59" t="str">
        <x:v>VC / Text</x:v>
      </x:c>
      <x:c r="E115" s="57" t="str">
        <x:v>OLTP + OLAP</x:v>
      </x:c>
      <x:c r="F115" s="57" t="str">
        <x:v>-</x:v>
      </x:c>
      <x:c r="G115" s="59" t="str">
        <x:v>Presentation-oriented label or bilingual display value.</x:v>
      </x:c>
      <x:c r="H115" s="59" t="str">
        <x:v>IFS( [Payment Status] = "ชำระแล้ว", "ชำระแล้ว / Payment Received", [Payment Status] = "รอชำระ", "รอชำระ / Pending Payment", TRUE, "ชำระบางส่วน / Partial Payment")</x:v>
      </x:c>
    </x:row>
    <x:row r="116" ht="15" customHeight="1">
      <x:c r="A116" s="57" t="str">
        <x:v>Charges</x:v>
      </x:c>
      <x:c r="B116" s="57" t="n">
        <x:v>15</x:v>
      </x:c>
      <x:c r="C116" s="59" t="str">
        <x:v>Principal Paid</x:v>
      </x:c>
      <x:c r="D116" s="59" t="str">
        <x:v>VC / Price</x:v>
      </x:c>
      <x:c r="E116" s="57" t="str">
        <x:v>OLTP + OLAP</x:v>
      </x:c>
      <x:c r="F116" s="57" t="str">
        <x:v>-</x:v>
      </x:c>
      <x:c r="G116" s="59" t="str">
        <x:v>Derived financial aggregate or balance for operational or analytical use.</x:v>
      </x:c>
      <x:c r="H116" s="59" t="str">
        <x:v>SUM([Related Repayments][Principal Paid])</x:v>
      </x:c>
    </x:row>
    <x:row r="117" ht="15" customHeight="1">
      <x:c r="A117" s="57" t="str">
        <x:v>Charges</x:v>
      </x:c>
      <x:c r="B117" s="57" t="n">
        <x:v>16</x:v>
      </x:c>
      <x:c r="C117" s="59" t="str">
        <x:v>Interest Paid</x:v>
      </x:c>
      <x:c r="D117" s="59" t="str">
        <x:v>VC / Price</x:v>
      </x:c>
      <x:c r="E117" s="57" t="str">
        <x:v>OLTP + OLAP</x:v>
      </x:c>
      <x:c r="F117" s="57" t="str">
        <x:v>-</x:v>
      </x:c>
      <x:c r="G117" s="59" t="str">
        <x:v>Derived financial aggregate or balance for operational or analytical use.</x:v>
      </x:c>
      <x:c r="H117" s="59" t="str">
        <x:v>SUM([Related Repayments][Interest Paid])</x:v>
      </x:c>
    </x:row>
    <x:row r="118" ht="21.600000381469727" customHeight="1">
      <x:c r="A118" s="57" t="str">
        <x:v>Charges</x:v>
      </x:c>
      <x:c r="B118" s="57" t="n">
        <x:v>17</x:v>
      </x:c>
      <x:c r="C118" s="59" t="str">
        <x:v>Total Paid</x:v>
      </x:c>
      <x:c r="D118" s="59" t="str">
        <x:v>VC / Price</x:v>
      </x:c>
      <x:c r="E118" s="57" t="str">
        <x:v>OLTP + OLAP</x:v>
      </x:c>
      <x:c r="F118" s="57" t="str">
        <x:v>-</x:v>
      </x:c>
      <x:c r="G118" s="59" t="str">
        <x:v>Derived AppSheet value used by the app workflow, presentation, or reporting model.</x:v>
      </x:c>
      <x:c r="H118" s="59" t="str">
        <x:v>[Principal Paid] + [Interest Paid]</x:v>
      </x:c>
    </x:row>
    <x:row r="119" ht="15" customHeight="1">
      <x:c r="A119" s="57" t="str">
        <x:v>Charges</x:v>
      </x:c>
      <x:c r="B119" s="57" t="n">
        <x:v>18</x:v>
      </x:c>
      <x:c r="C119" s="59" t="str">
        <x:v>Principal Remaining</x:v>
      </x:c>
      <x:c r="D119" s="59" t="str">
        <x:v>VC / Price</x:v>
      </x:c>
      <x:c r="E119" s="57" t="str">
        <x:v>OLTP + OLAP</x:v>
      </x:c>
      <x:c r="F119" s="57" t="str">
        <x:v>-</x:v>
      </x:c>
      <x:c r="G119" s="59" t="str">
        <x:v>Derived financial aggregate or balance for operational or analytical use.</x:v>
      </x:c>
      <x:c r="H119" s="59" t="str">
        <x:v>[Principal Due] - [Principal Paid]</x:v>
      </x:c>
    </x:row>
    <x:row r="120" ht="15" customHeight="1">
      <x:c r="A120" s="57" t="str">
        <x:v>Charges</x:v>
      </x:c>
      <x:c r="B120" s="57" t="n">
        <x:v>19</x:v>
      </x:c>
      <x:c r="C120" s="59" t="str">
        <x:v>Interest Remaining</x:v>
      </x:c>
      <x:c r="D120" s="59" t="str">
        <x:v>VC / Price</x:v>
      </x:c>
      <x:c r="E120" s="57" t="str">
        <x:v>OLTP + OLAP</x:v>
      </x:c>
      <x:c r="F120" s="57" t="str">
        <x:v>-</x:v>
      </x:c>
      <x:c r="G120" s="59" t="str">
        <x:v>Derived financial aggregate or balance for operational or analytical use.</x:v>
      </x:c>
      <x:c r="H120" s="59" t="str">
        <x:v>[Interest Due] - [Interest Paid]</x:v>
      </x:c>
    </x:row>
    <x:row r="121" ht="15" customHeight="1">
      <x:c r="A121" s="57" t="str">
        <x:v>Charges</x:v>
      </x:c>
      <x:c r="B121" s="57" t="n">
        <x:v>20</x:v>
      </x:c>
      <x:c r="C121" s="59" t="str">
        <x:v>Amount Remaining</x:v>
      </x:c>
      <x:c r="D121" s="59" t="str">
        <x:v>VC / Price</x:v>
      </x:c>
      <x:c r="E121" s="57" t="str">
        <x:v>OLTP + OLAP</x:v>
      </x:c>
      <x:c r="F121" s="57" t="str">
        <x:v>-</x:v>
      </x:c>
      <x:c r="G121" s="59" t="str">
        <x:v>Derived financial aggregate or balance for operational or analytical use.</x:v>
      </x:c>
      <x:c r="H121" s="59" t="str">
        <x:v>[Principal Remaining] + [Interest Remaining]</x:v>
      </x:c>
    </x:row>
    <x:row r="122" ht="15" customHeight="1">
      <x:c r="A122" s="57" t="str">
        <x:v>Charges</x:v>
      </x:c>
      <x:c r="B122" s="57" t="n">
        <x:v>21</x:v>
      </x:c>
      <x:c r="C122" s="59" t="str">
        <x:v>Last Payment Date</x:v>
      </x:c>
      <x:c r="D122" s="59" t="str">
        <x:v>VC / Date</x:v>
      </x:c>
      <x:c r="E122" s="57" t="str">
        <x:v>OLAP only</x:v>
      </x:c>
      <x:c r="F122" s="57" t="str">
        <x:v>-</x:v>
      </x:c>
      <x:c r="G122" s="59" t="str">
        <x:v>Derived date, time-window, age, or delinquency measure.</x:v>
      </x:c>
      <x:c r="H122" s="59" t="str">
        <x:v>IF(COUNT([Related Repayments]) &gt; 0, MAX([Related Repayments][Payment Date]), "")</x:v>
      </x:c>
    </x:row>
    <x:row r="123" ht="15" customHeight="1">
      <x:c r="A123" s="57" t="str">
        <x:v>Charges</x:v>
      </x:c>
      <x:c r="B123" s="57" t="n">
        <x:v>22</x:v>
      </x:c>
      <x:c r="C123" s="59" t="str">
        <x:v>First Payment Date</x:v>
      </x:c>
      <x:c r="D123" s="59" t="str">
        <x:v>VC / Date</x:v>
      </x:c>
      <x:c r="E123" s="57" t="str">
        <x:v>OLAP only</x:v>
      </x:c>
      <x:c r="F123" s="57" t="str">
        <x:v>-</x:v>
      </x:c>
      <x:c r="G123" s="59" t="str">
        <x:v>Derived date, time-window, age, or delinquency measure.</x:v>
      </x:c>
      <x:c r="H123" s="59" t="str">
        <x:v>MIN([Related Repayments][Payment Date])</x:v>
      </x:c>
    </x:row>
    <x:row r="124" ht="15" customHeight="1">
      <x:c r="A124" s="57" t="str">
        <x:v>Charges</x:v>
      </x:c>
      <x:c r="B124" s="57" t="n">
        <x:v>23</x:v>
      </x:c>
      <x:c r="C124" s="59" t="str">
        <x:v>Days Late</x:v>
      </x:c>
      <x:c r="D124" s="59" t="str">
        <x:v>VC / Number</x:v>
      </x:c>
      <x:c r="E124" s="57" t="str">
        <x:v>OLAP only</x:v>
      </x:c>
      <x:c r="F124" s="57" t="str">
        <x:v>-</x:v>
      </x:c>
      <x:c r="G124" s="59" t="str">
        <x:v>Derived business-state or risk indicator.</x:v>
      </x:c>
      <x:c r="H124" s="59" t="str">
        <x:v>IFS(AND([Payment Status] = "ชำระแล้ว", ISNOTBLANK([Payment Date])), MAX(LIST(0, FLOOR(TOTALHOURS([Payment Date] - [Charge Date]) / 24))), [Charge Date] &lt; TODAY(), FLOOR(TOTALHOURS(TODAY() - [Charge Date]) / 24), TRUE, 0)</x:v>
      </x:c>
    </x:row>
    <x:row r="125" ht="15" customHeight="1">
      <x:c r="A125" s="57" t="str">
        <x:v>Charges</x:v>
      </x:c>
      <x:c r="B125" s="57" t="n">
        <x:v>24</x:v>
      </x:c>
      <x:c r="C125" s="59" t="str">
        <x:v>Historical On Time</x:v>
      </x:c>
      <x:c r="D125" s="59" t="str">
        <x:v>VC / Yes/No</x:v>
      </x:c>
      <x:c r="E125" s="57" t="str">
        <x:v>OLAP only</x:v>
      </x:c>
      <x:c r="F125" s="57" t="str">
        <x:v>-</x:v>
      </x:c>
      <x:c r="G125" s="59" t="str">
        <x:v>Derived business-state or risk indicator.</x:v>
      </x:c>
      <x:c r="H125" s="59" t="str">
        <x:v>AND([Charge Date] &lt; TODAY(), [Payment Status] = "ชำระแล้ว", [Days Late] = 0)</x:v>
      </x:c>
    </x:row>
    <x:row r="126" ht="15" customHeight="1">
      <x:c r="A126" s="57" t="str">
        <x:v>Charges</x:v>
      </x:c>
      <x:c r="B126" s="57" t="n">
        <x:v>25</x:v>
      </x:c>
      <x:c r="C126" s="59" t="str">
        <x:v>Historical Late</x:v>
      </x:c>
      <x:c r="D126" s="59" t="str">
        <x:v>VC / Yes/No</x:v>
      </x:c>
      <x:c r="E126" s="57" t="str">
        <x:v>OLAP only</x:v>
      </x:c>
      <x:c r="F126" s="57" t="str">
        <x:v>-</x:v>
      </x:c>
      <x:c r="G126" s="59" t="str">
        <x:v>Derived business-state or risk indicator.</x:v>
      </x:c>
      <x:c r="H126" s="59" t="str">
        <x:v>AND([Charge Date] &lt; TODAY(), [Days Late] &gt; 0)</x:v>
      </x:c>
    </x:row>
    <x:row r="127" ht="15" customHeight="1">
      <x:c r="A127" s="57" t="str">
        <x:v>Charges</x:v>
      </x:c>
      <x:c r="B127" s="57" t="n">
        <x:v>26</x:v>
      </x:c>
      <x:c r="C127" s="59" t="str">
        <x:v>Payment Count</x:v>
      </x:c>
      <x:c r="D127" s="59" t="str">
        <x:v>VC / Number</x:v>
      </x:c>
      <x:c r="E127" s="57" t="str">
        <x:v>OLTP only</x:v>
      </x:c>
      <x:c r="F127" s="57" t="str">
        <x:v>-</x:v>
      </x:c>
      <x:c r="G127" s="59" t="str">
        <x:v>Derived count used for workload, portfolio, or risk analysis.</x:v>
      </x:c>
      <x:c r="H127" s="59" t="str">
        <x:v>COUNT([Related Repayments])</x:v>
      </x:c>
    </x:row>
    <x:row r="128" ht="15" customHeight="1">
      <x:c r="A128" s="57" t="str">
        <x:v>Charges</x:v>
      </x:c>
      <x:c r="B128" s="57" t="n">
        <x:v>27</x:v>
      </x:c>
      <x:c r="C128" s="59" t="str">
        <x:v>Days Outstanding</x:v>
      </x:c>
      <x:c r="D128" s="59" t="str">
        <x:v>VC / Number</x:v>
      </x:c>
      <x:c r="E128" s="57" t="str">
        <x:v>OLTP only</x:v>
      </x:c>
      <x:c r="F128" s="57" t="str">
        <x:v>-</x:v>
      </x:c>
      <x:c r="G128" s="59" t="str">
        <x:v>Derived date, time-window, age, or delinquency measure.</x:v>
      </x:c>
      <x:c r="H128" s="59" t="str">
        <x:v>FLOOR( TOTALHOURS( IF( [Payment Status] = "ชำระแล้ว", [Payment Date] - [Charge Date], TODAY() - [Charge Date] ) ) / 24)</x:v>
      </x:c>
    </x:row>
    <x:row r="129" ht="15" customHeight="1">
      <x:c r="A129" s="57" t="str">
        <x:v>Daily Analytics</x:v>
      </x:c>
      <x:c r="B129" s="57" t="n">
        <x:v>1</x:v>
      </x:c>
      <x:c r="C129" s="59" t="str">
        <x:v>_RowNumber</x:v>
      </x:c>
      <x:c r="D129" s="59" t="str">
        <x:v>Physical / Number</x:v>
      </x:c>
      <x:c r="E129" s="57" t="str">
        <x:v>OLAP only</x:v>
      </x:c>
      <x:c r="F129" s="57" t="str">
        <x:v>-</x:v>
      </x:c>
      <x:c r="G129" s="59" t="str">
        <x:v>System-generated source-row ordinal; not a stable business key.</x:v>
      </x:c>
      <x:c r="H129" s="59" t="str">
        <x:v>Stored source column</x:v>
      </x:c>
    </x:row>
    <x:row r="130" ht="15" customHeight="1">
      <x:c r="A130" s="57" t="str">
        <x:v>Daily Analytics</x:v>
      </x:c>
      <x:c r="B130" s="57" t="n">
        <x:v>2</x:v>
      </x:c>
      <x:c r="C130" s="59" t="str">
        <x:v>Row ID</x:v>
      </x:c>
      <x:c r="D130" s="59" t="str">
        <x:v>Physical / Text</x:v>
      </x:c>
      <x:c r="E130" s="57" t="str">
        <x:v>OLAP only</x:v>
      </x:c>
      <x:c r="F130" s="57" t="str">
        <x:v>Key, Required</x:v>
      </x:c>
      <x:c r="G130" s="59" t="str">
        <x:v>Immutable row key generated by the source database.</x:v>
      </x:c>
      <x:c r="H130" s="59" t="str">
        <x:v>Stored source column; initial value: UNIQUEID("PackedUUID")</x:v>
      </x:c>
    </x:row>
    <x:row r="131" ht="15" customHeight="1">
      <x:c r="A131" s="57" t="str">
        <x:v>Daily Analytics</x:v>
      </x:c>
      <x:c r="B131" s="57" t="n">
        <x:v>3</x:v>
      </x:c>
      <x:c r="C131" s="59" t="str">
        <x:v>Snapshot Date</x:v>
      </x:c>
      <x:c r="D131" s="59" t="str">
        <x:v>Physical / Date</x:v>
      </x:c>
      <x:c r="E131" s="57" t="str">
        <x:v>OLAP only</x:v>
      </x:c>
      <x:c r="F131" s="57" t="str">
        <x:v>Label</x:v>
      </x:c>
      <x:c r="G131" s="59" t="str">
        <x:v>Stores the source date for Snapshot Date.</x:v>
      </x:c>
      <x:c r="H131" s="59" t="str">
        <x:v>Stored source column; initial value: TODAY()</x:v>
      </x:c>
    </x:row>
    <x:row r="132" ht="15" customHeight="1">
      <x:c r="A132" s="57" t="str">
        <x:v>Daily Analytics</x:v>
      </x:c>
      <x:c r="B132" s="57" t="n">
        <x:v>4</x:v>
      </x:c>
      <x:c r="C132" s="59" t="str">
        <x:v>Generated At</x:v>
      </x:c>
      <x:c r="D132" s="59" t="str">
        <x:v>Physical / DateTime</x:v>
      </x:c>
      <x:c r="E132" s="57" t="str">
        <x:v>OLAP only</x:v>
      </x:c>
      <x:c r="F132" s="57" t="str">
        <x:v>-</x:v>
      </x:c>
      <x:c r="G132" s="59" t="str">
        <x:v>Stores the authoritative source value for Generated At.</x:v>
      </x:c>
      <x:c r="H132" s="59" t="str">
        <x:v>Stored source column; initial value: NOW()</x:v>
      </x:c>
    </x:row>
    <x:row r="133" ht="15" customHeight="1">
      <x:c r="A133" s="57" t="str">
        <x:v>Daily Analytics</x:v>
      </x:c>
      <x:c r="B133" s="57" t="n">
        <x:v>5</x:v>
      </x:c>
      <x:c r="C133" s="59" t="str">
        <x:v>Model Version</x:v>
      </x:c>
      <x:c r="D133" s="59" t="str">
        <x:v>Physical / Number</x:v>
      </x:c>
      <x:c r="E133" s="57" t="str">
        <x:v>OLAP only</x:v>
      </x:c>
      <x:c r="F133" s="57" t="str">
        <x:v>-</x:v>
      </x:c>
      <x:c r="G133" s="59" t="str">
        <x:v>Stores the authoritative source value for Model Version.</x:v>
      </x:c>
      <x:c r="H133" s="59" t="str">
        <x:v>Stored source column</x:v>
      </x:c>
    </x:row>
    <x:row r="134" ht="15" customHeight="1">
      <x:c r="A134" s="57" t="str">
        <x:v>Daily Analytics</x:v>
      </x:c>
      <x:c r="B134" s="57" t="n">
        <x:v>6</x:v>
      </x:c>
      <x:c r="C134" s="59" t="str">
        <x:v>Principal Issued</x:v>
      </x:c>
      <x:c r="D134" s="59" t="str">
        <x:v>Physical / Price</x:v>
      </x:c>
      <x:c r="E134" s="57" t="str">
        <x:v>OLAP only</x:v>
      </x:c>
      <x:c r="F134" s="57" t="str">
        <x:v>-</x:v>
      </x:c>
      <x:c r="G134" s="59" t="str">
        <x:v>Stores the financially material source value for Principal Issued.</x:v>
      </x:c>
      <x:c r="H134" s="59" t="str">
        <x:v>Stored source column</x:v>
      </x:c>
    </x:row>
    <x:row r="135" ht="15" customHeight="1">
      <x:c r="A135" s="57" t="str">
        <x:v>Daily Analytics</x:v>
      </x:c>
      <x:c r="B135" s="57" t="n">
        <x:v>7</x:v>
      </x:c>
      <x:c r="C135" s="59" t="str">
        <x:v>Loans Issued</x:v>
      </x:c>
      <x:c r="D135" s="59" t="str">
        <x:v>Physical / Number</x:v>
      </x:c>
      <x:c r="E135" s="57" t="str">
        <x:v>OLAP only</x:v>
      </x:c>
      <x:c r="F135" s="57" t="str">
        <x:v>-</x:v>
      </x:c>
      <x:c r="G135" s="59" t="str">
        <x:v>Stores the authoritative source value for Loans Issued.</x:v>
      </x:c>
      <x:c r="H135" s="59" t="str">
        <x:v>Stored source column</x:v>
      </x:c>
    </x:row>
    <x:row r="136" ht="15" customHeight="1">
      <x:c r="A136" s="57" t="str">
        <x:v>Daily Analytics</x:v>
      </x:c>
      <x:c r="B136" s="57" t="n">
        <x:v>8</x:v>
      </x:c>
      <x:c r="C136" s="59" t="str">
        <x:v>Principal Returned</x:v>
      </x:c>
      <x:c r="D136" s="59" t="str">
        <x:v>Physical / Price</x:v>
      </x:c>
      <x:c r="E136" s="57" t="str">
        <x:v>OLAP only</x:v>
      </x:c>
      <x:c r="F136" s="57" t="str">
        <x:v>-</x:v>
      </x:c>
      <x:c r="G136" s="59" t="str">
        <x:v>Stores the financially material source value for Principal Returned.</x:v>
      </x:c>
      <x:c r="H136" s="59" t="str">
        <x:v>Stored source column</x:v>
      </x:c>
    </x:row>
    <x:row r="137" ht="15" customHeight="1">
      <x:c r="A137" s="57" t="str">
        <x:v>Daily Analytics</x:v>
      </x:c>
      <x:c r="B137" s="57" t="n">
        <x:v>9</x:v>
      </x:c>
      <x:c r="C137" s="59" t="str">
        <x:v>Interest Received</x:v>
      </x:c>
      <x:c r="D137" s="59" t="str">
        <x:v>Physical / Price</x:v>
      </x:c>
      <x:c r="E137" s="57" t="str">
        <x:v>OLAP only</x:v>
      </x:c>
      <x:c r="F137" s="57" t="str">
        <x:v>-</x:v>
      </x:c>
      <x:c r="G137" s="59" t="str">
        <x:v>Stores the financially material source value for Interest Received.</x:v>
      </x:c>
      <x:c r="H137" s="59" t="str">
        <x:v>Stored source column</x:v>
      </x:c>
    </x:row>
    <x:row r="138" ht="15" customHeight="1">
      <x:c r="A138" s="57" t="str">
        <x:v>Daily Analytics</x:v>
      </x:c>
      <x:c r="B138" s="57" t="n">
        <x:v>10</x:v>
      </x:c>
      <x:c r="C138" s="59" t="str">
        <x:v>Repayments Count</x:v>
      </x:c>
      <x:c r="D138" s="59" t="str">
        <x:v>Physical / Number</x:v>
      </x:c>
      <x:c r="E138" s="57" t="str">
        <x:v>OLAP only</x:v>
      </x:c>
      <x:c r="F138" s="57" t="str">
        <x:v>-</x:v>
      </x:c>
      <x:c r="G138" s="59" t="str">
        <x:v>Stores the authoritative source value for Repayments Count.</x:v>
      </x:c>
      <x:c r="H138" s="59" t="str">
        <x:v>Stored source column</x:v>
      </x:c>
    </x:row>
    <x:row r="139" ht="15" customHeight="1">
      <x:c r="A139" s="57" t="str">
        <x:v>Daily Analytics</x:v>
      </x:c>
      <x:c r="B139" s="57" t="n">
        <x:v>11</x:v>
      </x:c>
      <x:c r="C139" s="59" t="str">
        <x:v>Outstanding Principal EOD</x:v>
      </x:c>
      <x:c r="D139" s="59" t="str">
        <x:v>Physical / Price</x:v>
      </x:c>
      <x:c r="E139" s="57" t="str">
        <x:v>OLAP only</x:v>
      </x:c>
      <x:c r="F139" s="57" t="str">
        <x:v>-</x:v>
      </x:c>
      <x:c r="G139" s="59" t="str">
        <x:v>Stores the financially material source value for Outstanding Principal EOD.</x:v>
      </x:c>
      <x:c r="H139" s="59" t="str">
        <x:v>Stored source column</x:v>
      </x:c>
    </x:row>
    <x:row r="140" ht="15" customHeight="1">
      <x:c r="A140" s="57" t="str">
        <x:v>Daily Analytics</x:v>
      </x:c>
      <x:c r="B140" s="57" t="n">
        <x:v>12</x:v>
      </x:c>
      <x:c r="C140" s="59" t="str">
        <x:v>Active Loans EOD</x:v>
      </x:c>
      <x:c r="D140" s="59" t="str">
        <x:v>Physical / Number</x:v>
      </x:c>
      <x:c r="E140" s="57" t="str">
        <x:v>OLAP only</x:v>
      </x:c>
      <x:c r="F140" s="57" t="str">
        <x:v>-</x:v>
      </x:c>
      <x:c r="G140" s="59" t="str">
        <x:v>Stores the authoritative source value for Active Loans EOD.</x:v>
      </x:c>
      <x:c r="H140" s="59" t="str">
        <x:v>Stored source column</x:v>
      </x:c>
    </x:row>
    <x:row r="141" ht="15" customHeight="1">
      <x:c r="A141" s="57" t="str">
        <x:v>Daily Analytics</x:v>
      </x:c>
      <x:c r="B141" s="57" t="n">
        <x:v>13</x:v>
      </x:c>
      <x:c r="C141" s="59" t="str">
        <x:v>Active Borrowers EOD</x:v>
      </x:c>
      <x:c r="D141" s="59" t="str">
        <x:v>Physical / Number</x:v>
      </x:c>
      <x:c r="E141" s="57" t="str">
        <x:v>OLAP only</x:v>
      </x:c>
      <x:c r="F141" s="57" t="str">
        <x:v>-</x:v>
      </x:c>
      <x:c r="G141" s="59" t="str">
        <x:v>Stores the authoritative source value for Active Borrowers EOD.</x:v>
      </x:c>
      <x:c r="H141" s="59" t="str">
        <x:v>Stored source column</x:v>
      </x:c>
    </x:row>
    <x:row r="142" ht="15" customHeight="1">
      <x:c r="A142" s="57" t="str">
        <x:v>Daily Analytics</x:v>
      </x:c>
      <x:c r="B142" s="57" t="n">
        <x:v>14</x:v>
      </x:c>
      <x:c r="C142" s="59" t="str">
        <x:v>Pending Charges EOD</x:v>
      </x:c>
      <x:c r="D142" s="59" t="str">
        <x:v>Physical / Price</x:v>
      </x:c>
      <x:c r="E142" s="57" t="str">
        <x:v>OLAP only</x:v>
      </x:c>
      <x:c r="F142" s="57" t="str">
        <x:v>-</x:v>
      </x:c>
      <x:c r="G142" s="59" t="str">
        <x:v>Stores the authoritative source value for Pending Charges EOD.</x:v>
      </x:c>
      <x:c r="H142" s="59" t="str">
        <x:v>Stored source column</x:v>
      </x:c>
    </x:row>
    <x:row r="143" ht="15" customHeight="1">
      <x:c r="A143" s="57" t="str">
        <x:v>Daily Analytics</x:v>
      </x:c>
      <x:c r="B143" s="57" t="n">
        <x:v>15</x:v>
      </x:c>
      <x:c r="C143" s="59" t="str">
        <x:v>Total Cash Pool EOD</x:v>
      </x:c>
      <x:c r="D143" s="59" t="str">
        <x:v>Physical / Price</x:v>
      </x:c>
      <x:c r="E143" s="57" t="str">
        <x:v>OLAP only</x:v>
      </x:c>
      <x:c r="F143" s="57" t="str">
        <x:v>-</x:v>
      </x:c>
      <x:c r="G143" s="59" t="str">
        <x:v>Stores the financially material source value for Total Cash Pool EOD.</x:v>
      </x:c>
      <x:c r="H143" s="59" t="str">
        <x:v>Stored source column</x:v>
      </x:c>
    </x:row>
    <x:row r="144" ht="15" customHeight="1">
      <x:c r="A144" s="57" t="str">
        <x:v>Daily Analytics</x:v>
      </x:c>
      <x:c r="B144" s="57" t="n">
        <x:v>16</x:v>
      </x:c>
      <x:c r="C144" s="59" t="str">
        <x:v>Available Cash EOD</x:v>
      </x:c>
      <x:c r="D144" s="59" t="str">
        <x:v>Physical / Price</x:v>
      </x:c>
      <x:c r="E144" s="57" t="str">
        <x:v>OLAP only</x:v>
      </x:c>
      <x:c r="F144" s="57" t="str">
        <x:v>-</x:v>
      </x:c>
      <x:c r="G144" s="59" t="str">
        <x:v>Stores the financially material source value for Available Cash EOD.</x:v>
      </x:c>
      <x:c r="H144" s="59" t="str">
        <x:v>Stored source column</x:v>
      </x:c>
    </x:row>
    <x:row r="145" ht="15" customHeight="1">
      <x:c r="A145" s="57" t="str">
        <x:v>Daily Analytics</x:v>
      </x:c>
      <x:c r="B145" s="57" t="n">
        <x:v>17</x:v>
      </x:c>
      <x:c r="C145" s="59" t="str">
        <x:v>Unsettled Profit EOD</x:v>
      </x:c>
      <x:c r="D145" s="59" t="str">
        <x:v>Physical / Price</x:v>
      </x:c>
      <x:c r="E145" s="57" t="str">
        <x:v>OLAP only</x:v>
      </x:c>
      <x:c r="F145" s="57" t="str">
        <x:v>-</x:v>
      </x:c>
      <x:c r="G145" s="59" t="str">
        <x:v>Stores the financially material source value for Unsettled Profit EOD.</x:v>
      </x:c>
      <x:c r="H145" s="59" t="str">
        <x:v>Stored source column</x:v>
      </x:c>
    </x:row>
    <x:row r="146" ht="15" customHeight="1">
      <x:c r="A146" s="57" t="str">
        <x:v>Daily Analytics</x:v>
      </x:c>
      <x:c r="B146" s="57" t="n">
        <x:v>18</x:v>
      </x:c>
      <x:c r="C146" s="59" t="str">
        <x:v>Week</x:v>
      </x:c>
      <x:c r="D146" s="59" t="str">
        <x:v>VC / Text</x:v>
      </x:c>
      <x:c r="E146" s="57" t="str">
        <x:v>OLAP only</x:v>
      </x:c>
      <x:c r="F146" s="57" t="str">
        <x:v>-</x:v>
      </x:c>
      <x:c r="G146" s="59" t="str">
        <x:v>Derived date, time-window, age, or delinquency measure.</x:v>
      </x:c>
      <x:c r="H146" s="59" t="str">
        <x:v>CONCATENATE( YEAR([Snapshot Date]), "-W", WEEKNUM([Snapshot Date]))</x:v>
      </x:c>
    </x:row>
    <x:row r="147" ht="15" customHeight="1">
      <x:c r="A147" s="57" t="str">
        <x:v>Daily Analytics</x:v>
      </x:c>
      <x:c r="B147" s="57" t="n">
        <x:v>19</x:v>
      </x:c>
      <x:c r="C147" s="59" t="str">
        <x:v>Month</x:v>
      </x:c>
      <x:c r="D147" s="59" t="str">
        <x:v>VC / Text</x:v>
      </x:c>
      <x:c r="E147" s="57" t="str">
        <x:v>OLAP only</x:v>
      </x:c>
      <x:c r="F147" s="57" t="str">
        <x:v>-</x:v>
      </x:c>
      <x:c r="G147" s="59" t="str">
        <x:v>Derived date, time-window, age, or delinquency measure.</x:v>
      </x:c>
      <x:c r="H147" s="59" t="str">
        <x:v>CONCATENATE( YEAR([Snapshot Date]), "-", RIGHT( "0" &amp; MONTH([Snapshot Date]), 2 ))</x:v>
      </x:c>
    </x:row>
    <x:row r="148" ht="15" customHeight="1">
      <x:c r="A148" s="57" t="str">
        <x:v>Daily Analytics</x:v>
      </x:c>
      <x:c r="B148" s="57" t="n">
        <x:v>20</x:v>
      </x:c>
      <x:c r="C148" s="59" t="str">
        <x:v>Daily Capital Employed</x:v>
      </x:c>
      <x:c r="D148" s="59" t="str">
        <x:v>VC / Price</x:v>
      </x:c>
      <x:c r="E148" s="57" t="str">
        <x:v>OLAP only</x:v>
      </x:c>
      <x:c r="F148" s="57" t="str">
        <x:v>-</x:v>
      </x:c>
      <x:c r="G148" s="59" t="str">
        <x:v>Derived AppSheet value used by the app workflow, presentation, or reporting model.</x:v>
      </x:c>
      <x:c r="H148" s="59" t="str">
        <x:v>[Outstanding Principal EOD]+[Principal Returned]</x:v>
      </x:c>
    </x:row>
    <x:row r="149" ht="15" customHeight="1">
      <x:c r="A149" s="57" t="str">
        <x:v>Daily Analytics</x:v>
      </x:c>
      <x:c r="B149" s="57" t="n">
        <x:v>21</x:v>
      </x:c>
      <x:c r="C149" s="59" t="str">
        <x:v>Daily Capital Yield</x:v>
      </x:c>
      <x:c r="D149" s="59" t="str">
        <x:v>VC / Percent</x:v>
      </x:c>
      <x:c r="E149" s="57" t="str">
        <x:v>OLAP only</x:v>
      </x:c>
      <x:c r="F149" s="57" t="str">
        <x:v>-</x:v>
      </x:c>
      <x:c r="G149" s="59" t="str">
        <x:v>Derived ratio or performance measure calculated from governed source values.</x:v>
      </x:c>
      <x:c r="H149" s="59" t="str">
        <x:v>IF( [Daily Capital Employed] &gt; 0, [Interest Received] / [Daily Capital Employed], 0)</x:v>
      </x:c>
    </x:row>
    <x:row r="150" ht="15" customHeight="1">
      <x:c r="A150" s="57" t="str">
        <x:v>Daily Analytics</x:v>
      </x:c>
      <x:c r="B150" s="57" t="n">
        <x:v>22</x:v>
      </x:c>
      <x:c r="C150" s="59" t="str">
        <x:v>Portfolio Share Join Key</x:v>
      </x:c>
      <x:c r="D150" s="59" t="str">
        <x:v>VC / Text</x:v>
      </x:c>
      <x:c r="E150" s="57" t="str">
        <x:v>OLAP only</x:v>
      </x:c>
      <x:c r="F150" s="57" t="str">
        <x:v>-</x:v>
      </x:c>
      <x:c r="G150" s="59" t="str">
        <x:v>Derived grouping, ordering, or join value used by reporting or app presentation.</x:v>
      </x:c>
      <x:c r="H150" s="59" t="str">
        <x:v>"Portfolio"</x:v>
      </x:c>
    </x:row>
    <x:row r="151" ht="15" customHeight="1">
      <x:c r="A151" s="57" t="str">
        <x:v>Daily Analytics</x:v>
      </x:c>
      <x:c r="B151" s="57" t="n">
        <x:v>23</x:v>
      </x:c>
      <x:c r="C151" s="59" t="str">
        <x:v>Portfolio Slice</x:v>
      </x:c>
      <x:c r="D151" s="59" t="str">
        <x:v>VC / Text</x:v>
      </x:c>
      <x:c r="E151" s="57" t="str">
        <x:v>OLAP only</x:v>
      </x:c>
      <x:c r="F151" s="57" t="str">
        <x:v>-</x:v>
      </x:c>
      <x:c r="G151" s="59" t="str">
        <x:v>Derived grouping, ordering, or join value used by reporting or app presentation.</x:v>
      </x:c>
      <x:c r="H151" s="59" t="str">
        <x:v>IF(MOD(DAY([Snapshot Date]), 2) = 0, "Selected borrower", "Remaining")</x:v>
      </x:c>
    </x:row>
    <x:row r="152" ht="21.600000381469727" customHeight="1">
      <x:c r="A152" s="57" t="str">
        <x:v>Loan Assessment</x:v>
      </x:c>
      <x:c r="B152" s="57" t="n">
        <x:v>1</x:v>
      </x:c>
      <x:c r="C152" s="59" t="str">
        <x:v>_RowNumber</x:v>
      </x:c>
      <x:c r="D152" s="59" t="str">
        <x:v>Physical / Number</x:v>
      </x:c>
      <x:c r="E152" s="57" t="str">
        <x:v>OLAP only</x:v>
      </x:c>
      <x:c r="F152" s="57" t="str">
        <x:v>-</x:v>
      </x:c>
      <x:c r="G152" s="59" t="str">
        <x:v>System-generated source-row ordinal; not a stable business key.</x:v>
      </x:c>
      <x:c r="H152" s="59" t="str">
        <x:v>Stored source column</x:v>
      </x:c>
    </x:row>
    <x:row r="153" ht="21.600000381469727" customHeight="1">
      <x:c r="A153" s="57" t="str">
        <x:v>Loan Assessment</x:v>
      </x:c>
      <x:c r="B153" s="57" t="n">
        <x:v>2</x:v>
      </x:c>
      <x:c r="C153" s="59" t="str">
        <x:v>Row ID</x:v>
      </x:c>
      <x:c r="D153" s="59" t="str">
        <x:v>Physical / Text</x:v>
      </x:c>
      <x:c r="E153" s="57" t="str">
        <x:v>OLAP only</x:v>
      </x:c>
      <x:c r="F153" s="57" t="str">
        <x:v>Key, Required</x:v>
      </x:c>
      <x:c r="G153" s="59" t="str">
        <x:v>Immutable row key generated by the source database.</x:v>
      </x:c>
      <x:c r="H153" s="59" t="str">
        <x:v>Stored source column; initial value: UNIQUEID("PackedUUID")</x:v>
      </x:c>
    </x:row>
    <x:row r="154" ht="15" customHeight="1">
      <x:c r="A154" s="57" t="str">
        <x:v>Loan Assessment</x:v>
      </x:c>
      <x:c r="B154" s="57" t="n">
        <x:v>3</x:v>
      </x:c>
      <x:c r="C154" s="59" t="str">
        <x:v>Assessment ID</x:v>
      </x:c>
      <x:c r="D154" s="59" t="str">
        <x:v>Physical / Text</x:v>
      </x:c>
      <x:c r="E154" s="57" t="str">
        <x:v>OLAP only</x:v>
      </x:c>
      <x:c r="F154" s="57" t="str">
        <x:v>Label</x:v>
      </x:c>
      <x:c r="G154" s="59" t="str">
        <x:v>Stores the authoritative source value for Assessment ID.</x:v>
      </x:c>
      <x:c r="H154" s="59" t="str">
        <x:v>Stored source column</x:v>
      </x:c>
    </x:row>
    <x:row r="155" ht="15" customHeight="1">
      <x:c r="A155" s="57" t="str">
        <x:v>Loan Assessment</x:v>
      </x:c>
      <x:c r="B155" s="57" t="n">
        <x:v>4</x:v>
      </x:c>
      <x:c r="C155" s="59" t="str">
        <x:v>Ref Borrower</x:v>
      </x:c>
      <x:c r="D155" s="59" t="str">
        <x:v>Physical / Ref</x:v>
      </x:c>
      <x:c r="E155" s="57" t="str">
        <x:v>OLAP only</x:v>
      </x:c>
      <x:c r="F155" s="57" t="str">
        <x:v>-</x:v>
      </x:c>
      <x:c r="G155" s="59" t="str">
        <x:v>Reference key that links this row to the configured parent table.</x:v>
      </x:c>
      <x:c r="H155" s="59" t="str">
        <x:v>Stored source column</x:v>
      </x:c>
    </x:row>
    <x:row r="156" ht="15" customHeight="1">
      <x:c r="A156" s="57" t="str">
        <x:v>Loan Assessment</x:v>
      </x:c>
      <x:c r="B156" s="57" t="n">
        <x:v>5</x:v>
      </x:c>
      <x:c r="C156" s="59" t="str">
        <x:v>Proposed Loan Amount</x:v>
      </x:c>
      <x:c r="D156" s="59" t="str">
        <x:v>Physical / Price</x:v>
      </x:c>
      <x:c r="E156" s="57" t="str">
        <x:v>OLAP only</x:v>
      </x:c>
      <x:c r="F156" s="57" t="str">
        <x:v>-</x:v>
      </x:c>
      <x:c r="G156" s="59" t="str">
        <x:v>Stores the financially material source value for Proposed Loan Amount.</x:v>
      </x:c>
      <x:c r="H156" s="59" t="str">
        <x:v>Stored source column</x:v>
      </x:c>
    </x:row>
    <x:row r="157" ht="15" customHeight="1">
      <x:c r="A157" s="57" t="str">
        <x:v>Loan Assessment</x:v>
      </x:c>
      <x:c r="B157" s="57" t="n">
        <x:v>6</x:v>
      </x:c>
      <x:c r="C157" s="59" t="str">
        <x:v>Minimum Daily Profit Rate</x:v>
      </x:c>
      <x:c r="D157" s="59" t="str">
        <x:v>Physical / Percent</x:v>
      </x:c>
      <x:c r="E157" s="57" t="str">
        <x:v>OLAP only</x:v>
      </x:c>
      <x:c r="F157" s="57" t="str">
        <x:v>-</x:v>
      </x:c>
      <x:c r="G157" s="59" t="str">
        <x:v>Stores the financially material source value for Minimum Daily Profit Rate.</x:v>
      </x:c>
      <x:c r="H157" s="59" t="str">
        <x:v>Stored source column</x:v>
      </x:c>
    </x:row>
    <x:row r="158" ht="15" customHeight="1">
      <x:c r="A158" s="57" t="str">
        <x:v>Loan Assessment</x:v>
      </x:c>
      <x:c r="B158" s="57" t="n">
        <x:v>7</x:v>
      </x:c>
      <x:c r="C158" s="59" t="str">
        <x:v>Current Outstanding Principal</x:v>
      </x:c>
      <x:c r="D158" s="59" t="str">
        <x:v>VC / Price</x:v>
      </x:c>
      <x:c r="E158" s="57" t="str">
        <x:v>OLAP only</x:v>
      </x:c>
      <x:c r="F158" s="57" t="str">
        <x:v>-</x:v>
      </x:c>
      <x:c r="G158" s="59" t="str">
        <x:v>Derived financial aggregate or balance for operational or analytical use.</x:v>
      </x:c>
      <x:c r="H158" s="59" t="str">
        <x:v>SUM( SELECT( Loans[Outstanding Principal], AND([Ref Borrowers] = [_THISROW].[Ref Borrower], [Loan Status] = "ยังไม่ปิดยอด") ))</x:v>
      </x:c>
    </x:row>
    <x:row r="159" ht="15" customHeight="1">
      <x:c r="A159" s="57" t="str">
        <x:v>Loan Assessment</x:v>
      </x:c>
      <x:c r="B159" s="57" t="n">
        <x:v>8</x:v>
      </x:c>
      <x:c r="C159" s="59" t="str">
        <x:v>Interest Earned from Active Loans</x:v>
      </x:c>
      <x:c r="D159" s="59" t="str">
        <x:v>VC / Price</x:v>
      </x:c>
      <x:c r="E159" s="57" t="str">
        <x:v>OLAP only</x:v>
      </x:c>
      <x:c r="F159" s="57" t="str">
        <x:v>-</x:v>
      </x:c>
      <x:c r="G159" s="59" t="str">
        <x:v>Derived count used for workload, portfolio, or risk analysis.</x:v>
      </x:c>
      <x:c r="H159" s="59" t="str">
        <x:v>SUM( SELECT( Loans[Total Interest Received], AND([Ref Borrowers] = [_THISROW].[Ref Borrower], [Loan Status] = "ยังไม่ปิดยอด") ))</x:v>
      </x:c>
    </x:row>
    <x:row r="160" ht="15" customHeight="1">
      <x:c r="A160" s="57" t="str">
        <x:v>Loan Assessment</x:v>
      </x:c>
      <x:c r="B160" s="57" t="n">
        <x:v>9</x:v>
      </x:c>
      <x:c r="C160" s="59" t="str">
        <x:v>Earliest Eligible Date</x:v>
      </x:c>
      <x:c r="D160" s="59" t="str">
        <x:v>VC / Date</x:v>
      </x:c>
      <x:c r="E160" s="57" t="str">
        <x:v>OLAP only</x:v>
      </x:c>
      <x:c r="F160" s="57" t="str">
        <x:v>-</x:v>
      </x:c>
      <x:c r="G160" s="59" t="str">
        <x:v>Derived business-state or risk indicator.</x:v>
      </x:c>
      <x:c r="H160" s="59" t="str">
        <x:v>MIN(SELECT(Calendar[Date], AND([Date] &gt;= TODAY(), [Eligible] = TRUE)))</x:v>
      </x:c>
    </x:row>
    <x:row r="161" ht="15" customHeight="1">
      <x:c r="A161" s="57" t="str">
        <x:v>Loan Assessment</x:v>
      </x:c>
      <x:c r="B161" s="57" t="n">
        <x:v>10</x:v>
      </x:c>
      <x:c r="C161" s="59" t="str">
        <x:v>Days Until Eligible</x:v>
      </x:c>
      <x:c r="D161" s="59" t="str">
        <x:v>VC / Number</x:v>
      </x:c>
      <x:c r="E161" s="57" t="str">
        <x:v>OLAP only</x:v>
      </x:c>
      <x:c r="F161" s="57" t="str">
        <x:v>-</x:v>
      </x:c>
      <x:c r="G161" s="59" t="str">
        <x:v>Derived business-state or risk indicator.</x:v>
      </x:c>
      <x:c r="H161" s="59" t="str">
        <x:v>IF( ISBLANK([Earliest Eligible Date]), "", TOTALHOURS([Earliest Eligible Date] - TODAY()) / 24)</x:v>
      </x:c>
    </x:row>
    <x:row r="162" ht="15" customHeight="1">
      <x:c r="A162" s="57" t="str">
        <x:v>Loan Assessment</x:v>
      </x:c>
      <x:c r="B162" s="57" t="n">
        <x:v>11</x:v>
      </x:c>
      <x:c r="C162" s="59" t="str">
        <x:v>Projected Interest at Eligible Date</x:v>
      </x:c>
      <x:c r="D162" s="59" t="str">
        <x:v>VC / Price</x:v>
      </x:c>
      <x:c r="E162" s="57" t="str">
        <x:v>OLAP only</x:v>
      </x:c>
      <x:c r="F162" s="57" t="str">
        <x:v>-</x:v>
      </x:c>
      <x:c r="G162" s="59" t="str">
        <x:v>Derived business-state or risk indicator.</x:v>
      </x:c>
      <x:c r="H162" s="59" t="str">
        <x:v>LOOKUP([Earliest Eligible Date], "Calendar", "Date", "Projected Interest")</x:v>
      </x:c>
    </x:row>
    <x:row r="163" ht="21.600000381469727" customHeight="1">
      <x:c r="A163" s="57" t="str">
        <x:v>Loan Assessment</x:v>
      </x:c>
      <x:c r="B163" s="57" t="n">
        <x:v>12</x:v>
      </x:c>
      <x:c r="C163" s="59" t="str">
        <x:v>Outstanding Principal at Eligible Date</x:v>
      </x:c>
      <x:c r="D163" s="59" t="str">
        <x:v>VC / Price</x:v>
      </x:c>
      <x:c r="E163" s="57" t="str">
        <x:v>OLAP only</x:v>
      </x:c>
      <x:c r="F163" s="57" t="str">
        <x:v>-</x:v>
      </x:c>
      <x:c r="G163" s="59" t="str">
        <x:v>Derived business-state or risk indicator.</x:v>
      </x:c>
      <x:c r="H163" s="59" t="str">
        <x:v>LOOKUP( [Earliest Eligible Date], "Calendar", "Date", "Projected Outstanding Principal")</x:v>
      </x:c>
    </x:row>
    <x:row r="164" ht="64.80000305175781" customHeight="1">
      <x:c r="A164" s="57" t="str">
        <x:v>Loan Assessment</x:v>
      </x:c>
      <x:c r="B164" s="57" t="n">
        <x:v>13</x:v>
      </x:c>
      <x:c r="C164" s="59" t="str">
        <x:v>Minimum Profit at Eligible Date</x:v>
      </x:c>
      <x:c r="D164" s="59" t="str">
        <x:v>VC / Price</x:v>
      </x:c>
      <x:c r="E164" s="57" t="str">
        <x:v>OLAP only</x:v>
      </x:c>
      <x:c r="F164" s="57" t="str">
        <x:v>-</x:v>
      </x:c>
      <x:c r="G164" s="59" t="str">
        <x:v>Derived business-state or risk indicator.</x:v>
      </x:c>
      <x:c r="H164" s="59" t="str">
        <x:v>LOOKUP( [Earliest Eligible Date], "Calendar", "Date", "Minimum Required Profit")</x:v>
      </x:c>
    </x:row>
    <x:row r="165" ht="15" customHeight="1">
      <x:c r="A165" s="57" t="str">
        <x:v>Loan Assessment</x:v>
      </x:c>
      <x:c r="B165" s="57" t="n">
        <x:v>14</x:v>
      </x:c>
      <x:c r="C165" s="59" t="str">
        <x:v>Required Coverage at Eligible Date</x:v>
      </x:c>
      <x:c r="D165" s="59" t="str">
        <x:v>VC / Price</x:v>
      </x:c>
      <x:c r="E165" s="57" t="str">
        <x:v>OLAP only</x:v>
      </x:c>
      <x:c r="F165" s="57" t="str">
        <x:v>-</x:v>
      </x:c>
      <x:c r="G165" s="59" t="str">
        <x:v>Derived ratio or performance measure calculated from governed source values.</x:v>
      </x:c>
      <x:c r="H165" s="59" t="str">
        <x:v>LOOKUP( [Earliest Eligible Date], "Calendar", "Date", "Required Coverage")</x:v>
      </x:c>
    </x:row>
    <x:row r="166" ht="15" customHeight="1">
      <x:c r="A166" s="57" t="str">
        <x:v>Loan Assessment</x:v>
      </x:c>
      <x:c r="B166" s="57" t="n">
        <x:v>15</x:v>
      </x:c>
      <x:c r="C166" s="59" t="str">
        <x:v>Safety Margin</x:v>
      </x:c>
      <x:c r="D166" s="59" t="str">
        <x:v>VC / Price</x:v>
      </x:c>
      <x:c r="E166" s="57" t="str">
        <x:v>OLAP only</x:v>
      </x:c>
      <x:c r="F166" s="57" t="str">
        <x:v>-</x:v>
      </x:c>
      <x:c r="G166" s="59" t="str">
        <x:v>Derived AppSheet value used by the app workflow, presentation, or reporting model.</x:v>
      </x:c>
      <x:c r="H166" s="59" t="str">
        <x:v>LOOKUP( [Earliest Eligible Date], "Calendar", "Date", "Coverage Margin")</x:v>
      </x:c>
    </x:row>
    <x:row r="167" ht="15" customHeight="1">
      <x:c r="A167" s="57" t="str">
        <x:v>Loan Assessment</x:v>
      </x:c>
      <x:c r="B167" s="57" t="n">
        <x:v>16</x:v>
      </x:c>
      <x:c r="C167" s="59" t="str">
        <x:v>Current Coverage Margin</x:v>
      </x:c>
      <x:c r="D167" s="59" t="str">
        <x:v>VC / Price</x:v>
      </x:c>
      <x:c r="E167" s="57" t="str">
        <x:v>OLAP only</x:v>
      </x:c>
      <x:c r="F167" s="57" t="str">
        <x:v>-</x:v>
      </x:c>
      <x:c r="G167" s="59" t="str">
        <x:v>Derived ratio or performance measure calculated from governed source values.</x:v>
      </x:c>
      <x:c r="H167" s="59" t="str">
        <x:v>LOOKUP( TODAY(), "Calendar", "Date", "Coverage Margin")</x:v>
      </x:c>
    </x:row>
    <x:row r="168" ht="15" customHeight="1">
      <x:c r="A168" s="57" t="str">
        <x:v>Loan Assessment</x:v>
      </x:c>
      <x:c r="B168" s="57" t="n">
        <x:v>17</x:v>
      </x:c>
      <x:c r="C168" s="59" t="str">
        <x:v>Coverage Ratio at Eligible Date</x:v>
      </x:c>
      <x:c r="D168" s="59" t="str">
        <x:v>VC / Percent</x:v>
      </x:c>
      <x:c r="E168" s="57" t="str">
        <x:v>OLAP only</x:v>
      </x:c>
      <x:c r="F168" s="57" t="str">
        <x:v>-</x:v>
      </x:c>
      <x:c r="G168" s="59" t="str">
        <x:v>Derived ratio or performance measure calculated from governed source values.</x:v>
      </x:c>
      <x:c r="H168" s="59" t="str">
        <x:v>IF( [Required Coverage at Eligible Date] &gt; 0, [Projected Interest at Eligible Date] / [Required Coverage at Eligible Date], 0)</x:v>
      </x:c>
    </x:row>
    <x:row r="169" ht="15" customHeight="1">
      <x:c r="A169" s="57" t="str">
        <x:v>Loan Assessment</x:v>
      </x:c>
      <x:c r="B169" s="57" t="n">
        <x:v>18</x:v>
      </x:c>
      <x:c r="C169" s="59" t="str">
        <x:v>Recommendation Status</x:v>
      </x:c>
      <x:c r="D169" s="59" t="str">
        <x:v>VC / Text</x:v>
      </x:c>
      <x:c r="E169" s="57" t="str">
        <x:v>OLAP only</x:v>
      </x:c>
      <x:c r="F169" s="57" t="str">
        <x:v>-</x:v>
      </x:c>
      <x:c r="G169" s="59" t="str">
        <x:v>Derived business-state or risk indicator.</x:v>
      </x:c>
      <x:c r="H169" s="59" t="str">
        <x:v>IFS( ISBLANK([Earliest Eligible Date]), "ยังไม่ผ่านเกณฑ์ - Not Eligible", [Earliest Eligible Date] &lt;= TODAY(), "ปล่อยกู้ได้ตอนนี้ - Eligible Now", TRUE, "ควรรอก่อน - Wait")</x:v>
      </x:c>
    </x:row>
    <x:row r="170" ht="15" customHeight="1">
      <x:c r="A170" s="57" t="str">
        <x:v>Loan Assessment</x:v>
      </x:c>
      <x:c r="B170" s="57" t="n">
        <x:v>19</x:v>
      </x:c>
      <x:c r="C170" s="59" t="str">
        <x:v>Recommendation</x:v>
      </x:c>
      <x:c r="D170" s="59" t="str">
        <x:v>VC / Text</x:v>
      </x:c>
      <x:c r="E170" s="57" t="str">
        <x:v>OLAP only</x:v>
      </x:c>
      <x:c r="F170" s="57" t="str">
        <x:v>-</x:v>
      </x:c>
      <x:c r="G170" s="59" t="str">
        <x:v>Derived AppSheet value used by the app workflow, presentation, or reporting model.</x:v>
      </x:c>
      <x:c r="H170" s="59" t="str">
        <x:v>IFS( ISBLANK([Ref Borrower]), "กรุณาเลือกผู้กู้ / Select a borrower", OR(ISBLANK([Proposed Loan Amount]), [Proposed Loan Amount] &lt;= 0), "กรุณากรอกวงเงินกู้ที่เสนอ / Enter the proposed loan amount", OR(ISBLANK([Minimum Daily Profit Rate]), [Minimum Daily Profit Rate] &lt;= 0), "กรุณากรอกอัตรากำไรขั้นต่ำ / Enter the minimum profit rate", ISBLANK([Earliest Eligible Date]), "ไม่พบวันที่ผ่านเกณฑ์ภายในช่วงเวลาที่ประเมิน / No eligible date found within the forecast period", [Earliest Eligible Date] = TODAY(), "สามารถปล่อยกู้ได้วันนี้ / Eligible to issue the loan today", TRUE, CONCATENATE( "วันที่แนะนำให้ปล่อยกู้ได้เร็วที่สุด / Earliest recommended issue date: ", TEXT([Earliest Eligible Date], "DD/MM/YYYY") ))</x:v>
      </x:c>
    </x:row>
    <x:row r="171" ht="15" customHeight="1">
      <x:c r="A171" s="57" t="str">
        <x:v>Loan Assessment</x:v>
      </x:c>
      <x:c r="B171" s="57" t="n">
        <x:v>20</x:v>
      </x:c>
      <x:c r="C171" s="59" t="str">
        <x:v>Header - Current Position</x:v>
      </x:c>
      <x:c r="D171" s="59" t="str">
        <x:v>VC / Text</x:v>
      </x:c>
      <x:c r="E171" s="57" t="str">
        <x:v>OLAP only</x:v>
      </x:c>
      <x:c r="F171" s="57" t="str">
        <x:v>-</x:v>
      </x:c>
      <x:c r="G171" s="59" t="str">
        <x:v>Presentation-oriented label or bilingual display value.</x:v>
      </x:c>
      <x:c r="H171" s="59" t="str">
        <x:v>"──── สถานะปัจจุบัน / Current Position ────"</x:v>
      </x:c>
    </x:row>
    <x:row r="172" ht="15" customHeight="1">
      <x:c r="A172" s="57" t="str">
        <x:v>Loan Assessment</x:v>
      </x:c>
      <x:c r="B172" s="57" t="n">
        <x:v>21</x:v>
      </x:c>
      <x:c r="C172" s="59" t="str">
        <x:v>Header - Recommendation</x:v>
      </x:c>
      <x:c r="D172" s="59" t="str">
        <x:v>VC / Text</x:v>
      </x:c>
      <x:c r="E172" s="57" t="str">
        <x:v>OLAP only</x:v>
      </x:c>
      <x:c r="F172" s="57" t="str">
        <x:v>-</x:v>
      </x:c>
      <x:c r="G172" s="59" t="str">
        <x:v>Presentation-oriented label or bilingual display value.</x:v>
      </x:c>
      <x:c r="H172" s="59" t="str">
        <x:v>"──── คำแนะนำ / Recommendation ────"</x:v>
      </x:c>
    </x:row>
    <x:row r="173" ht="15" customHeight="1">
      <x:c r="A173" s="57" t="str">
        <x:v>Loan Assessment</x:v>
      </x:c>
      <x:c r="B173" s="57" t="n">
        <x:v>22</x:v>
      </x:c>
      <x:c r="C173" s="59" t="str">
        <x:v>Header - Calculation</x:v>
      </x:c>
      <x:c r="D173" s="59" t="str">
        <x:v>VC / Text</x:v>
      </x:c>
      <x:c r="E173" s="57" t="str">
        <x:v>OLAP only</x:v>
      </x:c>
      <x:c r="F173" s="57" t="str">
        <x:v>-</x:v>
      </x:c>
      <x:c r="G173" s="59" t="str">
        <x:v>Presentation-oriented label or bilingual display value.</x:v>
      </x:c>
      <x:c r="H173" s="59" t="str">
        <x:v>"──── รายละเอียดการคำนวณ / Calculation ────"</x:v>
      </x:c>
    </x:row>
    <x:row r="174" ht="15" customHeight="1">
      <x:c r="A174" s="57" t="str">
        <x:v>Loans</x:v>
      </x:c>
      <x:c r="B174" s="57" t="n">
        <x:v>1</x:v>
      </x:c>
      <x:c r="C174" s="59" t="str">
        <x:v>_RowNumber</x:v>
      </x:c>
      <x:c r="D174" s="59" t="str">
        <x:v>Physical / Number</x:v>
      </x:c>
      <x:c r="E174" s="57" t="str">
        <x:v>OLTP + OLAP</x:v>
      </x:c>
      <x:c r="F174" s="57" t="str">
        <x:v>-</x:v>
      </x:c>
      <x:c r="G174" s="59" t="str">
        <x:v>System-generated source-row ordinal; not a stable business key.</x:v>
      </x:c>
      <x:c r="H174" s="59" t="str">
        <x:v>Stored source column</x:v>
      </x:c>
    </x:row>
    <x:row r="175" ht="15" customHeight="1">
      <x:c r="A175" s="57" t="str">
        <x:v>Loans</x:v>
      </x:c>
      <x:c r="B175" s="57" t="n">
        <x:v>2</x:v>
      </x:c>
      <x:c r="C175" s="59" t="str">
        <x:v>Row ID</x:v>
      </x:c>
      <x:c r="D175" s="59" t="str">
        <x:v>Physical / Text</x:v>
      </x:c>
      <x:c r="E175" s="57" t="str">
        <x:v>OLTP + OLAP</x:v>
      </x:c>
      <x:c r="F175" s="57" t="str">
        <x:v>Key, Required</x:v>
      </x:c>
      <x:c r="G175" s="59" t="str">
        <x:v>Immutable row key generated by the source database.</x:v>
      </x:c>
      <x:c r="H175" s="59" t="str">
        <x:v>Stored source column; initial value: UNIQUEID("PackedUUID")</x:v>
      </x:c>
    </x:row>
    <x:row r="176" ht="15" customHeight="1">
      <x:c r="A176" s="57" t="str">
        <x:v>Loans</x:v>
      </x:c>
      <x:c r="B176" s="57" t="n">
        <x:v>3</x:v>
      </x:c>
      <x:c r="C176" s="59" t="str">
        <x:v>Loan Date</x:v>
      </x:c>
      <x:c r="D176" s="59" t="str">
        <x:v>Physical / Date</x:v>
      </x:c>
      <x:c r="E176" s="57" t="str">
        <x:v>OLTP + OLAP</x:v>
      </x:c>
      <x:c r="F176" s="57" t="str">
        <x:v>OLTP: Required; OLAP: -</x:v>
      </x:c>
      <x:c r="G176" s="59" t="str">
        <x:v>Stores the source date for Loan Date.</x:v>
      </x:c>
      <x:c r="H176" s="59" t="str">
        <x:v>Stored source column; initial value: TODAY()</x:v>
      </x:c>
    </x:row>
    <x:row r="177" ht="15" customHeight="1">
      <x:c r="A177" s="57" t="str">
        <x:v>Loans</x:v>
      </x:c>
      <x:c r="B177" s="57" t="n">
        <x:v>4</x:v>
      </x:c>
      <x:c r="C177" s="59" t="str">
        <x:v>Close Date</x:v>
      </x:c>
      <x:c r="D177" s="59" t="str">
        <x:v>Physical / Date</x:v>
      </x:c>
      <x:c r="E177" s="57" t="str">
        <x:v>OLTP + OLAP</x:v>
      </x:c>
      <x:c r="F177" s="57" t="str">
        <x:v>-</x:v>
      </x:c>
      <x:c r="G177" s="59" t="str">
        <x:v>Stores the source date for Close Date.</x:v>
      </x:c>
      <x:c r="H177" s="59" t="str">
        <x:v>Stored source column; initial value: TODAY()</x:v>
      </x:c>
    </x:row>
    <x:row r="178" ht="15" customHeight="1">
      <x:c r="A178" s="57" t="str">
        <x:v>Loans</x:v>
      </x:c>
      <x:c r="B178" s="57" t="n">
        <x:v>5</x:v>
      </x:c>
      <x:c r="C178" s="59" t="str">
        <x:v>Principal Amount</x:v>
      </x:c>
      <x:c r="D178" s="59" t="str">
        <x:v>Physical / Price</x:v>
      </x:c>
      <x:c r="E178" s="57" t="str">
        <x:v>OLTP + OLAP</x:v>
      </x:c>
      <x:c r="F178" s="57" t="str">
        <x:v>OLTP: Required; OLAP: -</x:v>
      </x:c>
      <x:c r="G178" s="59" t="str">
        <x:v>Stores the financially material source value for Principal Amount.</x:v>
      </x:c>
      <x:c r="H178" s="59" t="str">
        <x:v>Stored source column</x:v>
      </x:c>
    </x:row>
    <x:row r="179" ht="15" customHeight="1">
      <x:c r="A179" s="57" t="str">
        <x:v>Loans</x:v>
      </x:c>
      <x:c r="B179" s="57" t="n">
        <x:v>6</x:v>
      </x:c>
      <x:c r="C179" s="59" t="str">
        <x:v>Due Date</x:v>
      </x:c>
      <x:c r="D179" s="59" t="str">
        <x:v>Physical / Date</x:v>
      </x:c>
      <x:c r="E179" s="57" t="str">
        <x:v>OLTP + OLAP</x:v>
      </x:c>
      <x:c r="F179" s="57" t="str">
        <x:v>-</x:v>
      </x:c>
      <x:c r="G179" s="59" t="str">
        <x:v>Stores the source date for Due Date.</x:v>
      </x:c>
      <x:c r="H179" s="59" t="str">
        <x:v>Stored source column; initial value: TODAY()</x:v>
      </x:c>
    </x:row>
    <x:row r="180" ht="15" customHeight="1">
      <x:c r="A180" s="57" t="str">
        <x:v>Loans</x:v>
      </x:c>
      <x:c r="B180" s="57" t="n">
        <x:v>7</x:v>
      </x:c>
      <x:c r="C180" s="59" t="str">
        <x:v>Ref Borrowers</x:v>
      </x:c>
      <x:c r="D180" s="59" t="str">
        <x:v>Physical / Ref</x:v>
      </x:c>
      <x:c r="E180" s="57" t="str">
        <x:v>OLTP + OLAP</x:v>
      </x:c>
      <x:c r="F180" s="57" t="str">
        <x:v>-</x:v>
      </x:c>
      <x:c r="G180" s="59" t="str">
        <x:v>Reference key that links this row to the configured parent table.</x:v>
      </x:c>
      <x:c r="H180" s="59" t="str">
        <x:v>Stored source column</x:v>
      </x:c>
    </x:row>
    <x:row r="181" ht="15" customHeight="1">
      <x:c r="A181" s="57" t="str">
        <x:v>Loans</x:v>
      </x:c>
      <x:c r="B181" s="57" t="n">
        <x:v>8</x:v>
      </x:c>
      <x:c r="C181" s="59" t="str">
        <x:v>Loan Arrangement</x:v>
      </x:c>
      <x:c r="D181" s="59" t="str">
        <x:v>Physical / LongText</x:v>
      </x:c>
      <x:c r="E181" s="57" t="str">
        <x:v>OLTP + OLAP</x:v>
      </x:c>
      <x:c r="F181" s="57" t="str">
        <x:v>-</x:v>
      </x:c>
      <x:c r="G181" s="59" t="str">
        <x:v>Stores the authoritative source value for Loan Arrangement.</x:v>
      </x:c>
      <x:c r="H181" s="59" t="str">
        <x:v>Stored source column</x:v>
      </x:c>
    </x:row>
    <x:row r="182" ht="15" customHeight="1">
      <x:c r="A182" s="57" t="str">
        <x:v>Loans</x:v>
      </x:c>
      <x:c r="B182" s="57" t="n">
        <x:v>9</x:v>
      </x:c>
      <x:c r="C182" s="59" t="str">
        <x:v>Loan Status</x:v>
      </x:c>
      <x:c r="D182" s="59" t="str">
        <x:v>Physical / Enum</x:v>
      </x:c>
      <x:c r="E182" s="57" t="str">
        <x:v>OLTP + OLAP</x:v>
      </x:c>
      <x:c r="F182" s="57" t="str">
        <x:v>OLTP: Required; OLAP: -</x:v>
      </x:c>
      <x:c r="G182" s="59" t="str">
        <x:v>Stores the controlled workflow state for Loan Status.</x:v>
      </x:c>
      <x:c r="H182" s="59" t="str">
        <x:v>Stored source column; initial value: "ยังไม่ปิดยอด"</x:v>
      </x:c>
    </x:row>
    <x:row r="183" ht="15" customHeight="1">
      <x:c r="A183" s="57" t="str">
        <x:v>Loans</x:v>
      </x:c>
      <x:c r="B183" s="57" t="n">
        <x:v>10</x:v>
      </x:c>
      <x:c r="C183" s="59" t="str">
        <x:v>Borrower Name</x:v>
      </x:c>
      <x:c r="D183" s="59" t="str">
        <x:v>Physical / Name</x:v>
      </x:c>
      <x:c r="E183" s="57" t="str">
        <x:v>OLTP + OLAP</x:v>
      </x:c>
      <x:c r="F183" s="57" t="str">
        <x:v>-</x:v>
      </x:c>
      <x:c r="G183" s="59" t="str">
        <x:v>Stores the authoritative source value for Borrower Name.</x:v>
      </x:c>
      <x:c r="H183" s="59" t="str">
        <x:v>Stored source column</x:v>
      </x:c>
    </x:row>
    <x:row r="184" ht="15" customHeight="1">
      <x:c r="A184" s="57" t="str">
        <x:v>Loans</x:v>
      </x:c>
      <x:c r="B184" s="57" t="n">
        <x:v>11</x:v>
      </x:c>
      <x:c r="C184" s="59" t="str">
        <x:v>Loan Type</x:v>
      </x:c>
      <x:c r="D184" s="59" t="str">
        <x:v>Physical / Enum</x:v>
      </x:c>
      <x:c r="E184" s="57" t="str">
        <x:v>OLTP + OLAP</x:v>
      </x:c>
      <x:c r="F184" s="57" t="str">
        <x:v>OLTP: Required; OLAP: -</x:v>
      </x:c>
      <x:c r="G184" s="59" t="str">
        <x:v>Stores the authoritative source value for Loan Type.</x:v>
      </x:c>
      <x:c r="H184" s="59" t="str">
        <x:v>Stored source column; production source/OLTP enum values: "กำหนดวันชำระ", "ดอกเบี้ยรายวัน", "ผ่อนชำระรายวัน"</x:v>
      </x:c>
    </x:row>
    <x:row r="185" ht="15" customHeight="1">
      <x:c r="A185" s="57" t="str">
        <x:v>Loans</x:v>
      </x:c>
      <x:c r="B185" s="57" t="n">
        <x:v>12</x:v>
      </x:c>
      <x:c r="C185" s="59" t="str">
        <x:v>Current Daily Interest</x:v>
      </x:c>
      <x:c r="D185" s="59" t="str">
        <x:v>Physical / Price</x:v>
      </x:c>
      <x:c r="E185" s="57" t="str">
        <x:v>OLTP + OLAP</x:v>
      </x:c>
      <x:c r="F185" s="57" t="str">
        <x:v>-</x:v>
      </x:c>
      <x:c r="G185" s="59" t="str">
        <x:v>Stores the financially material source value for Current Daily Interest.</x:v>
      </x:c>
      <x:c r="H185" s="59" t="str">
        <x:v>Stored source column</x:v>
      </x:c>
    </x:row>
    <x:row r="186" ht="15" customHeight="1">
      <x:c r="A186" s="57" t="str">
        <x:v>Loans</x:v>
      </x:c>
      <x:c r="B186" s="57" t="n">
        <x:v>13</x:v>
      </x:c>
      <x:c r="C186" s="59" t="str">
        <x:v>Fixed Interest</x:v>
      </x:c>
      <x:c r="D186" s="59" t="str">
        <x:v>Physical / Price</x:v>
      </x:c>
      <x:c r="E186" s="57" t="str">
        <x:v>OLTP + OLAP</x:v>
      </x:c>
      <x:c r="F186" s="57" t="str">
        <x:v>-</x:v>
      </x:c>
      <x:c r="G186" s="59" t="str">
        <x:v>Stores the financially material source value for Fixed Interest.</x:v>
      </x:c>
      <x:c r="H186" s="59" t="str">
        <x:v>Stored source column</x:v>
      </x:c>
    </x:row>
    <x:row r="187" ht="15" customHeight="1">
      <x:c r="A187" s="57" t="str">
        <x:v>Loans</x:v>
      </x:c>
      <x:c r="B187" s="57" t="n">
        <x:v>14</x:v>
      </x:c>
      <x:c r="C187" s="59" t="str">
        <x:v>Transfer Fee</x:v>
      </x:c>
      <x:c r="D187" s="59" t="str">
        <x:v>Physical / Price</x:v>
      </x:c>
      <x:c r="E187" s="57" t="str">
        <x:v>OLTP + OLAP</x:v>
      </x:c>
      <x:c r="F187" s="57" t="str">
        <x:v>-</x:v>
      </x:c>
      <x:c r="G187" s="59" t="str">
        <x:v>Stores the financially material source value for Transfer Fee.</x:v>
      </x:c>
      <x:c r="H187" s="59" t="str">
        <x:v>Stored source column; initial value: 0</x:v>
      </x:c>
    </x:row>
    <x:row r="188" ht="15" customHeight="1">
      <x:c r="A188" s="57" t="str">
        <x:v>Loans</x:v>
      </x:c>
      <x:c r="B188" s="57" t="n">
        <x:v>15</x:v>
      </x:c>
      <x:c r="C188" s="59" t="str">
        <x:v>Interest Payment Interval</x:v>
      </x:c>
      <x:c r="D188" s="59" t="str">
        <x:v>Physical / Number</x:v>
      </x:c>
      <x:c r="E188" s="57" t="str">
        <x:v>OLTP + OLAP</x:v>
      </x:c>
      <x:c r="F188" s="57" t="str">
        <x:v>-</x:v>
      </x:c>
      <x:c r="G188" s="59" t="str">
        <x:v>Stores the financially material source value for Interest Payment Interval.</x:v>
      </x:c>
      <x:c r="H188" s="59" t="str">
        <x:v>Stored source column; initial value: 1</x:v>
      </x:c>
    </x:row>
    <x:row r="189" ht="15" customHeight="1">
      <x:c r="A189" s="57" t="str">
        <x:v>Loans</x:v>
      </x:c>
      <x:c r="B189" s="57" t="n">
        <x:v>16</x:v>
      </x:c>
      <x:c r="C189" s="59" t="str">
        <x:v>Created By</x:v>
      </x:c>
      <x:c r="D189" s="59" t="str">
        <x:v>Physical / Email</x:v>
      </x:c>
      <x:c r="E189" s="57" t="str">
        <x:v>OLTP + OLAP</x:v>
      </x:c>
      <x:c r="F189" s="57" t="str">
        <x:v>-</x:v>
      </x:c>
      <x:c r="G189" s="59" t="str">
        <x:v>Stores the authoritative source value for Created By.</x:v>
      </x:c>
      <x:c r="H189" s="59" t="str">
        <x:v>Stored source column; initial value: USEREMAIL()</x:v>
      </x:c>
    </x:row>
    <x:row r="190" ht="15" customHeight="1">
      <x:c r="A190" s="57" t="str">
        <x:v>Loans</x:v>
      </x:c>
      <x:c r="B190" s="57" t="n">
        <x:v>17</x:v>
      </x:c>
      <x:c r="C190" s="59" t="str">
        <x:v>Closed By</x:v>
      </x:c>
      <x:c r="D190" s="59" t="str">
        <x:v>Physical / Email</x:v>
      </x:c>
      <x:c r="E190" s="57" t="str">
        <x:v>OLTP + OLAP</x:v>
      </x:c>
      <x:c r="F190" s="57" t="str">
        <x:v>-</x:v>
      </x:c>
      <x:c r="G190" s="59" t="str">
        <x:v>Stores the authoritative source value for Closed By.</x:v>
      </x:c>
      <x:c r="H190" s="59" t="str">
        <x:v>Stored source column</x:v>
      </x:c>
    </x:row>
    <x:row r="191" ht="15" customHeight="1">
      <x:c r="A191" s="57" t="str">
        <x:v>Loans</x:v>
      </x:c>
      <x:c r="B191" s="57" t="n">
        <x:v>18</x:v>
      </x:c>
      <x:c r="C191" s="59" t="str">
        <x:v>Defaulted</x:v>
      </x:c>
      <x:c r="D191" s="59" t="str">
        <x:v>Physical / Yes/No</x:v>
      </x:c>
      <x:c r="E191" s="57" t="str">
        <x:v>OLTP + OLAP</x:v>
      </x:c>
      <x:c r="F191" s="57" t="str">
        <x:v>-</x:v>
      </x:c>
      <x:c r="G191" s="59" t="str">
        <x:v>Stores the authoritative source value for Defaulted.</x:v>
      </x:c>
      <x:c r="H191" s="59" t="str">
        <x:v>Stored source column; initial value: FALSE</x:v>
      </x:c>
    </x:row>
    <x:row r="192" ht="15" customHeight="1">
      <x:c r="A192" s="57" t="str">
        <x:v>Loans</x:v>
      </x:c>
      <x:c r="B192" s="57" t="n">
        <x:v>19</x:v>
      </x:c>
      <x:c r="C192" s="59" t="str">
        <x:v>Default Loss Amount</x:v>
      </x:c>
      <x:c r="D192" s="59" t="str">
        <x:v>Physical / Price</x:v>
      </x:c>
      <x:c r="E192" s="57" t="str">
        <x:v>OLTP + OLAP</x:v>
      </x:c>
      <x:c r="F192" s="57" t="str">
        <x:v>-</x:v>
      </x:c>
      <x:c r="G192" s="59" t="str">
        <x:v>Stores the financially material source value for Default Loss Amount.</x:v>
      </x:c>
      <x:c r="H192" s="59" t="str">
        <x:v>Stored source column; initial value: 0</x:v>
      </x:c>
    </x:row>
    <x:row r="193" ht="15" customHeight="1">
      <x:c r="A193" s="57" t="str">
        <x:v>Loans</x:v>
      </x:c>
      <x:c r="B193" s="57" t="n">
        <x:v>20</x:v>
      </x:c>
      <x:c r="C193" s="59" t="str">
        <x:v>Daily Payment Amount</x:v>
      </x:c>
      <x:c r="D193" s="59" t="str">
        <x:v>Physical / Price</x:v>
      </x:c>
      <x:c r="E193" s="57" t="str">
        <x:v>OLTP + OLAP</x:v>
      </x:c>
      <x:c r="F193" s="57" t="str">
        <x:v>OLTP: Required_If/Show_If and whole-baht validation for "ผ่อนชำระรายวัน"; OLAP: loaded read-only; decimal digits 0</x:v>
      </x:c>
      <x:c r="G193" s="59" t="str">
        <x:v>Contract payment amount per scheduled day for a daily-installment loan; interval charges combine elapsed days.</x:v>
      </x:c>
      <x:c r="H193" s="59" t="str">
        <x:v>Stored source column; display name: "ยอดชำระรายวัน / Daily Payment Amount"; OLTP form validation remains app-specific; OLAP description states that interval charges combine elapsed days</x:v>
      </x:c>
    </x:row>
    <x:row r="194" ht="15" customHeight="1">
      <x:c r="A194" s="57" t="str">
        <x:v>Loans</x:v>
      </x:c>
      <x:c r="B194" s="57" t="n">
        <x:v>21</x:v>
      </x:c>
      <x:c r="C194" s="59" t="str">
        <x:v>Related Repayments</x:v>
      </x:c>
      <x:c r="D194" s="59" t="str">
        <x:v>VC / List</x:v>
      </x:c>
      <x:c r="E194" s="57" t="str">
        <x:v>OLTP + OLAP</x:v>
      </x:c>
      <x:c r="F194" s="57" t="str">
        <x:v>-</x:v>
      </x:c>
      <x:c r="G194" s="59" t="str">
        <x:v>Reverse-reference list of child rows that point to this record.</x:v>
      </x:c>
      <x:c r="H194" s="59" t="str">
        <x:v>REF_ROWS("Repayments", "Ref Loans")</x:v>
      </x:c>
    </x:row>
    <x:row r="195" ht="21.600000381469727" customHeight="1">
      <x:c r="A195" s="57" t="str">
        <x:v>Loans</x:v>
      </x:c>
      <x:c r="B195" s="57" t="n">
        <x:v>22</x:v>
      </x:c>
      <x:c r="C195" s="59" t="str">
        <x:v>Total Interest Received</x:v>
      </x:c>
      <x:c r="D195" s="59" t="str">
        <x:v>VC / Price</x:v>
      </x:c>
      <x:c r="E195" s="57" t="str">
        <x:v>OLTP + OLAP</x:v>
      </x:c>
      <x:c r="F195" s="57" t="str">
        <x:v>-</x:v>
      </x:c>
      <x:c r="G195" s="59" t="str">
        <x:v>Derived financial aggregate or balance for operational or analytical use.</x:v>
      </x:c>
      <x:c r="H195" s="59" t="str">
        <x:v>SUM([Related Repayments][Interest Paid])</x:v>
      </x:c>
    </x:row>
    <x:row r="196" ht="32.400001525878906" customHeight="1">
      <x:c r="A196" s="57" t="str">
        <x:v>Loans</x:v>
      </x:c>
      <x:c r="B196" s="57" t="n">
        <x:v>23</x:v>
      </x:c>
      <x:c r="C196" s="59" t="str">
        <x:v>Total Principal Received</x:v>
      </x:c>
      <x:c r="D196" s="59" t="str">
        <x:v>VC / Price</x:v>
      </x:c>
      <x:c r="E196" s="57" t="str">
        <x:v>OLTP + OLAP</x:v>
      </x:c>
      <x:c r="F196" s="57" t="str">
        <x:v>-</x:v>
      </x:c>
      <x:c r="G196" s="59" t="str">
        <x:v>Derived financial aggregate or balance for operational or analytical use.</x:v>
      </x:c>
      <x:c r="H196" s="59" t="str">
        <x:v>SUM([Related Repayments][Principal Paid])</x:v>
      </x:c>
    </x:row>
    <x:row r="197" ht="21.600000381469727" customHeight="1">
      <x:c r="A197" s="57" t="str">
        <x:v>Loans</x:v>
      </x:c>
      <x:c r="B197" s="57" t="n">
        <x:v>24</x:v>
      </x:c>
      <x:c r="C197" s="59" t="str">
        <x:v>Outstanding Principal</x:v>
      </x:c>
      <x:c r="D197" s="59" t="str">
        <x:v>VC / Price</x:v>
      </x:c>
      <x:c r="E197" s="57" t="str">
        <x:v>OLTP + OLAP</x:v>
      </x:c>
      <x:c r="F197" s="57" t="str">
        <x:v>-</x:v>
      </x:c>
      <x:c r="G197" s="59" t="str">
        <x:v>Derived financial aggregate or balance for operational or analytical use.</x:v>
      </x:c>
      <x:c r="H197" s="59" t="str">
        <x:v>[Principal Amount] - [Total Principal Received]</x:v>
      </x:c>
    </x:row>
    <x:row r="198" ht="15" customHeight="1">
      <x:c r="A198" s="57" t="str">
        <x:v>Loans</x:v>
      </x:c>
      <x:c r="B198" s="57" t="n">
        <x:v>25</x:v>
      </x:c>
      <x:c r="C198" s="59" t="str">
        <x:v>Total Amount Received</x:v>
      </x:c>
      <x:c r="D198" s="59" t="str">
        <x:v>VC / Price</x:v>
      </x:c>
      <x:c r="E198" s="57" t="str">
        <x:v>OLTP + OLAP</x:v>
      </x:c>
      <x:c r="F198" s="57" t="str">
        <x:v>-</x:v>
      </x:c>
      <x:c r="G198" s="59" t="str">
        <x:v>Derived financial aggregate or balance for operational or analytical use.</x:v>
      </x:c>
      <x:c r="H198" s="59" t="str">
        <x:v>SUM([Related Repayments][Amount Received])</x:v>
      </x:c>
    </x:row>
    <x:row r="199" ht="21.600000381469727" customHeight="1">
      <x:c r="A199" s="57" t="str">
        <x:v>Loans</x:v>
      </x:c>
      <x:c r="B199" s="57" t="n">
        <x:v>26</x:v>
      </x:c>
      <x:c r="C199" s="59" t="str">
        <x:v>Statistics Header</x:v>
      </x:c>
      <x:c r="D199" s="59" t="str">
        <x:v>VC / Text</x:v>
      </x:c>
      <x:c r="E199" s="57" t="str">
        <x:v>OLTP + OLAP</x:v>
      </x:c>
      <x:c r="F199" s="57" t="str">
        <x:v>-</x:v>
      </x:c>
      <x:c r="G199" s="59" t="str">
        <x:v>Presentation-oriented label or bilingual display value.</x:v>
      </x:c>
      <x:c r="H199" s="59" t="str">
        <x:v>"📊 สถิติการกู้ / Statistics"</x:v>
      </x:c>
    </x:row>
    <x:row r="200" ht="15" customHeight="1">
      <x:c r="A200" s="57" t="str">
        <x:v>Loans</x:v>
      </x:c>
      <x:c r="B200" s="57" t="n">
        <x:v>27</x:v>
      </x:c>
      <x:c r="C200" s="59" t="str">
        <x:v>Borrower Total Interest</x:v>
      </x:c>
      <x:c r="D200" s="59" t="str">
        <x:v>VC / Price</x:v>
      </x:c>
      <x:c r="E200" s="57" t="str">
        <x:v>OLAP only</x:v>
      </x:c>
      <x:c r="F200" s="57" t="str">
        <x:v>-</x:v>
      </x:c>
      <x:c r="G200" s="59" t="str">
        <x:v>Derived financial aggregate or balance for operational or analytical use.</x:v>
      </x:c>
      <x:c r="H200" s="59" t="str">
        <x:v>SUM( SELECT( Loans[Total Interest Received], [Ref Borrowers] = [_THISROW].[Ref Borrowers] ))</x:v>
      </x:c>
    </x:row>
    <x:row r="201" ht="15" customHeight="1">
      <x:c r="A201" s="57" t="str">
        <x:v>Loans</x:v>
      </x:c>
      <x:c r="B201" s="57" t="n">
        <x:v>28</x:v>
      </x:c>
      <x:c r="C201" s="59" t="str">
        <x:v>Related Charges</x:v>
      </x:c>
      <x:c r="D201" s="59" t="str">
        <x:v>VC / List</x:v>
      </x:c>
      <x:c r="E201" s="57" t="str">
        <x:v>OLTP + OLAP</x:v>
      </x:c>
      <x:c r="F201" s="57" t="str">
        <x:v>-</x:v>
      </x:c>
      <x:c r="G201" s="59" t="str">
        <x:v>Reverse-reference list of child rows that point to this record.</x:v>
      </x:c>
      <x:c r="H201" s="59" t="str">
        <x:v>REF_ROWS("Charges", "Ref Loans")</x:v>
      </x:c>
    </x:row>
    <x:row r="202" ht="15" customHeight="1">
      <x:c r="A202" s="57" t="str">
        <x:v>Loans</x:v>
      </x:c>
      <x:c r="B202" s="57" t="n">
        <x:v>29</x:v>
      </x:c>
      <x:c r="C202" s="59" t="str">
        <x:v>Loan Key</x:v>
      </x:c>
      <x:c r="D202" s="59" t="str">
        <x:v>VC / Text</x:v>
      </x:c>
      <x:c r="E202" s="57" t="str">
        <x:v>OLTP + OLAP</x:v>
      </x:c>
      <x:c r="F202" s="57" t="str">
        <x:v>Label</x:v>
      </x:c>
      <x:c r="G202" s="59" t="str">
        <x:v>Derived AppSheet value used by the app workflow, presentation, or reporting model.</x:v>
      </x:c>
      <x:c r="H202" s="59" t="str">
        <x:v>CONCATENATE( [Borrower Name], "-", TEXT([Principal Amount]), "-", TEXT([Loan Date], "DD/MM"), "-", TEXT([Effective Daily Interest Rate]))</x:v>
      </x:c>
    </x:row>
    <x:row r="203" ht="15" customHeight="1">
      <x:c r="A203" s="57" t="str">
        <x:v>Loans</x:v>
      </x:c>
      <x:c r="B203" s="57" t="n">
        <x:v>30</x:v>
      </x:c>
      <x:c r="C203" s="59" t="str">
        <x:v>Expected Interest This Month</x:v>
      </x:c>
      <x:c r="D203" s="59" t="str">
        <x:v>VC / Price</x:v>
      </x:c>
      <x:c r="E203" s="57" t="str">
        <x:v>OLTP + OLAP</x:v>
      </x:c>
      <x:c r="F203" s="57" t="str">
        <x:v>-</x:v>
      </x:c>
      <x:c r="G203" s="59" t="str">
        <x:v>Open-loan current-month interest forecast. Daily-installment interest covers only uncharged contract days after the latest posted Charge through the earlier of Due Date and month-end.</x:v>
      </x:c>
      <x:c r="H203" s="59" t="str">
        <x:v>IF([Loan Status] = "ปิดยอดแล้ว", 0, IFS([Loan Type] = "ดอกเบี้ยรายวัน", MAX(LIST([Current Daily Interest] * 0, [Accrued Interest])) + ([Current Daily Interest] * (DAY(EOMONTH(TODAY(), 0)) - DAY(TODAY()))), [Loan Type] = "กำหนดวันชำระ", IF(AND([Due Date] &gt; TODAY(), MONTH([Due Date]) = MONTH(TODAY()), YEAR([Due Date]) = YEAR(TODAY())), [Fixed Interest], 0), [Loan Type] = "ผ่อนชำระรายวัน", IF(AND(ISNOTBLANK(MAX([Related Charges][Charge Date])), IF([Due Date] &lt; EOMONTH(TODAY(), 0), [Due Date], EOMONTH(TODAY(), 0)) &gt; MAX([Related Charges][Charge Date])), ([Daily Payment Amount] * IF(IF([Due Date] &lt; EOMONTH(TODAY(), 0), [Due Date], EOMONTH(TODAY(), 0)) &gt; MAX([Related Charges][Charge Date]), TOTALHOURS(IF([Due Date] &lt; EOMONTH(TODAY(), 0), [Due Date], EOMONTH(TODAY(), 0)) - MAX([Related Charges][Charge Date])) / 24, 0)) - (FLOOR([Principal Amount] / (TOTALHOURS([Due Date] - [Loan Date]) / 24 + 1)) * IF(IF([Due Date] &lt; EOMONTH(TODAY(), 0), [Due Date], EOMONTH(TODAY(), 0)) &gt; MAX([Related Charges][Charge Date]), TOTALHOURS(IF([Due Date] &lt; EOMONTH(TODAY(), 0), [Due Date], EOMONTH(TODAY(), 0)) - MAX([Related Charges][Charge Date])) / 24, 0) + IF((IF((TOTALHOURS(IF([Due Date] &lt; EOMONTH(TODAY(), 0), [Due Date], EOMONTH(TODAY(), 0)) - [Loan Date]) / 24 + 1) &lt; MOD([Principal Amount], (TOTALHOURS([Due Date] - [Loan Date]) / 24 + 1)), (TOTALHOURS(IF([Due Date] &lt; EOMONTH(TODAY(), 0), [Due Date], EOMONTH(TODAY(), 0)) - [Loan Date]) / 24 + 1), MOD([Principal Amount], (TOTALHOURS([Due Date] - [Loan Date]) / 24 + 1))) - (TOTALHOURS(MAX([Related Charges][Charge Date]) - [Loan Date]) / 24 + 2) + 1) &gt; 0, (IF((TOTALHOURS(IF([Due Date] &lt; EOMONTH(TODAY(), 0), [Due Date], EOMONTH(TODAY(), 0)) - [Loan Date]) / 24 + 1) &lt; MOD([Principal Amount], (TOTALHOURS([Due Date] - [Loan Date]) / 24 + 1)), (TOTALHOURS(IF([Due Date] &lt; EOMONTH(TODAY(), 0), [Due Date], EOMONTH(TODAY(), 0)) - [Loan Date]) / 24 + 1), MOD([Principal Amount], (TOTALHOURS([Due Date] - [Loan Date]) / 24 + 1))) - (TOTALHOURS(MAX([Related Charges][Charge Date]) - [Loan Date]) / 24 + 2) + 1), 0)), 0), TRUE, 0))</x:v>
      </x:c>
    </x:row>
    <x:row r="204" ht="15" customHeight="1">
      <x:c r="A204" s="57" t="str">
        <x:v>Loans</x:v>
      </x:c>
      <x:c r="B204" s="57" t="n">
        <x:v>31</x:v>
      </x:c>
      <x:c r="C204" s="59" t="str">
        <x:v>Effective Daily Interest Rate</x:v>
      </x:c>
      <x:c r="D204" s="59" t="str">
        <x:v>VC / Percent</x:v>
      </x:c>
      <x:c r="E204" s="57" t="str">
        <x:v>OLTP + OLAP</x:v>
      </x:c>
      <x:c r="F204" s="57" t="str">
        <x:v>-</x:v>
      </x:c>
      <x:c r="G204" s="59" t="str">
        <x:v>Derived ratio or performance measure calculated from governed source values.</x:v>
      </x:c>
      <x:c r="H204" s="59" t="str">
        <x:v>IFS([Loan Type] = "ดอกเบี้ยรายวัน", [Current Daily Interest] / [Principal Amount], [Loan Type] = "กำหนดวันชำระ", ([Fixed Interest] / (TOTALHOURS([Due Date] - [Loan Date]) / 24 + 1)) / [Principal Amount], [Loan Type] = "ผ่อนชำระรายวัน", ((([Daily Payment Amount] * (TOTALHOURS([Due Date] - [Loan Date]) / 24 + 1)) - [Principal Amount]) / (TOTALHOURS([Due Date] - [Loan Date]) / 24 + 1)) / [Principal Amount], TRUE, 0)</x:v>
      </x:c>
    </x:row>
    <x:row r="205" ht="15" customHeight="1">
      <x:c r="A205" s="57" t="str">
        <x:v>Loans</x:v>
      </x:c>
      <x:c r="B205" s="57" t="n">
        <x:v>32</x:v>
      </x:c>
      <x:c r="C205" s="59" t="str">
        <x:v>Principal Recovered by Interest %</x:v>
      </x:c>
      <x:c r="D205" s="59" t="str">
        <x:v>VC / Percent</x:v>
      </x:c>
      <x:c r="E205" s="57" t="str">
        <x:v>OLTP + OLAP</x:v>
      </x:c>
      <x:c r="F205" s="57" t="str">
        <x:v>-</x:v>
      </x:c>
      <x:c r="G205" s="59" t="str">
        <x:v>Derived ratio or performance measure calculated from governed source values.</x:v>
      </x:c>
      <x:c r="H205" s="59" t="str">
        <x:v>IF( [Principal Amount] &gt; 0, [Total Interest Received] / [Principal Amount], 0)</x:v>
      </x:c>
    </x:row>
    <x:row r="206" ht="21.600000381469727" customHeight="1">
      <x:c r="A206" s="57" t="str">
        <x:v>Loans</x:v>
      </x:c>
      <x:c r="B206" s="57" t="n">
        <x:v>33</x:v>
      </x:c>
      <x:c r="C206" s="59" t="str">
        <x:v>Principal Days MTD</x:v>
      </x:c>
      <x:c r="D206" s="59" t="str">
        <x:v>VC / Number</x:v>
      </x:c>
      <x:c r="E206" s="57" t="str">
        <x:v>OLTP + OLAP</x:v>
      </x:c>
      <x:c r="F206" s="57" t="str">
        <x:v>-</x:v>
      </x:c>
      <x:c r="G206" s="59" t="str">
        <x:v>Derived date, time-window, age, or delinquency measure.</x:v>
      </x:c>
      <x:c r="H206" s="59" t="str">
        <x:v>IF( [Loan Date] &gt; TODAY(), 0, [Principal Amount] * IF( AND(MONTH([Loan Date]) = MONTH(TODAY()), YEAR([Loan Date]) = YEAR(TODAY())), DAY(TODAY()) - DAY([Loan Date]) + 1, DAY(TODAY()) ))</x:v>
      </x:c>
    </x:row>
    <x:row r="207" ht="21.600000381469727" customHeight="1">
      <x:c r="A207" s="57" t="str">
        <x:v>Loans</x:v>
      </x:c>
      <x:c r="B207" s="57" t="n">
        <x:v>34</x:v>
      </x:c>
      <x:c r="C207" s="59" t="str">
        <x:v>Borrower Name TE</x:v>
      </x:c>
      <x:c r="D207" s="59" t="str">
        <x:v>VC / Text</x:v>
      </x:c>
      <x:c r="E207" s="57" t="str">
        <x:v>OLTP + OLAP</x:v>
      </x:c>
      <x:c r="F207" s="57" t="str">
        <x:v>-</x:v>
      </x:c>
      <x:c r="G207" s="59" t="str">
        <x:v>Presentation-oriented label or bilingual display value.</x:v>
      </x:c>
      <x:c r="H207" s="59" t="str">
        <x:v>[Ref Borrowers].[Borrower Name TE]</x:v>
      </x:c>
    </x:row>
    <x:row r="208" ht="15" customHeight="1">
      <x:c r="A208" s="57" t="str">
        <x:v>Loans</x:v>
      </x:c>
      <x:c r="B208" s="57" t="n">
        <x:v>35</x:v>
      </x:c>
      <x:c r="C208" s="59" t="str">
        <x:v>Loan Status TE</x:v>
      </x:c>
      <x:c r="D208" s="59" t="str">
        <x:v>VC / Text</x:v>
      </x:c>
      <x:c r="E208" s="57" t="str">
        <x:v>OLTP + OLAP</x:v>
      </x:c>
      <x:c r="F208" s="57" t="str">
        <x:v>-</x:v>
      </x:c>
      <x:c r="G208" s="59" t="str">
        <x:v>Presentation-oriented label or bilingual display value.</x:v>
      </x:c>
      <x:c r="H208" s="59" t="str">
        <x:v>IF([Loan Status] = "ปิดยอดแล้ว", "ปิดยอดแล้ว / Closed", "ยังไม่ปิดยอด / Active")</x:v>
      </x:c>
    </x:row>
    <x:row r="209" ht="21.600000381469727" customHeight="1">
      <x:c r="A209" s="57" t="str">
        <x:v>Loans</x:v>
      </x:c>
      <x:c r="B209" s="57" t="n">
        <x:v>36</x:v>
      </x:c>
      <x:c r="C209" s="59" t="str">
        <x:v>Loan Type TE</x:v>
      </x:c>
      <x:c r="D209" s="59" t="str">
        <x:v>VC / Text</x:v>
      </x:c>
      <x:c r="E209" s="57" t="str">
        <x:v>OLTP + OLAP</x:v>
      </x:c>
      <x:c r="F209" s="57" t="str">
        <x:v>-</x:v>
      </x:c>
      <x:c r="G209" s="59" t="str">
        <x:v>Presentation-oriented label or bilingual display value.</x:v>
      </x:c>
      <x:c r="H209" s="59" t="str">
        <x:v>SWITCH([Loan Type], "กำหนดวันชำระ", "กำหนดวันชำระ / Fixed Due Date", "ดอกเบี้ยรายวัน", "ดอกเบี้ยรายวัน / Daily Interest", "ผ่อนชำระรายวัน", "ผ่อนชำระรายวัน / Daily Installment", "ไม่ทราบประเภท / Unknown")</x:v>
      </x:c>
    </x:row>
    <x:row r="210" ht="15" customHeight="1">
      <x:c r="A210" s="57" t="str">
        <x:v>Loans</x:v>
      </x:c>
      <x:c r="B210" s="57" t="n">
        <x:v>37</x:v>
      </x:c>
      <x:c r="C210" s="59" t="str">
        <x:v>Loan Start Day Index</x:v>
      </x:c>
      <x:c r="D210" s="59" t="str">
        <x:v>VC / Decimal</x:v>
      </x:c>
      <x:c r="E210" s="57" t="str">
        <x:v>OLAP only</x:v>
      </x:c>
      <x:c r="F210" s="57" t="str">
        <x:v>-</x:v>
      </x:c>
      <x:c r="G210" s="59" t="str">
        <x:v>Derived AppSheet value used by the app workflow, presentation, or reporting model.</x:v>
      </x:c>
      <x:c r="H210" s="59" t="str">
        <x:v>TOTALHOURS( [Loan Date] - DATE("01/01/2000")) / 24</x:v>
      </x:c>
    </x:row>
    <x:row r="211" ht="15" customHeight="1">
      <x:c r="A211" s="57" t="str">
        <x:v>Loans</x:v>
      </x:c>
      <x:c r="B211" s="57" t="n">
        <x:v>38</x:v>
      </x:c>
      <x:c r="C211" s="59" t="str">
        <x:v>Principal Start Weight</x:v>
      </x:c>
      <x:c r="D211" s="59" t="str">
        <x:v>VC / Decimal</x:v>
      </x:c>
      <x:c r="E211" s="57" t="str">
        <x:v>OLAP only</x:v>
      </x:c>
      <x:c r="F211" s="57" t="str">
        <x:v>-</x:v>
      </x:c>
      <x:c r="G211" s="59" t="str">
        <x:v>Derived financial aggregate or balance for operational or analytical use.</x:v>
      </x:c>
      <x:c r="H211" s="59" t="str">
        <x:v>[Principal Amount] * [Loan Start Day Index]</x:v>
      </x:c>
    </x:row>
    <x:row r="212" ht="15" customHeight="1">
      <x:c r="A212" s="57" t="str">
        <x:v>Loans</x:v>
      </x:c>
      <x:c r="B212" s="57" t="n">
        <x:v>39</x:v>
      </x:c>
      <x:c r="C212" s="59" t="str">
        <x:v>Loan End Date</x:v>
      </x:c>
      <x:c r="D212" s="59" t="str">
        <x:v>VC / Date</x:v>
      </x:c>
      <x:c r="E212" s="57" t="str">
        <x:v>OLAP only</x:v>
      </x:c>
      <x:c r="F212" s="57" t="str">
        <x:v>-</x:v>
      </x:c>
      <x:c r="G212" s="59" t="str">
        <x:v>Derived date, time-window, age, or delinquency measure.</x:v>
      </x:c>
      <x:c r="H212" s="59" t="str">
        <x:v>[Close Date]</x:v>
      </x:c>
    </x:row>
    <x:row r="213" ht="21.600000381469727" customHeight="1">
      <x:c r="A213" s="57" t="str">
        <x:v>Loans</x:v>
      </x:c>
      <x:c r="B213" s="57" t="n">
        <x:v>40</x:v>
      </x:c>
      <x:c r="C213" s="59" t="str">
        <x:v>Loan Duration</x:v>
      </x:c>
      <x:c r="D213" s="59" t="str">
        <x:v>VC / Number</x:v>
      </x:c>
      <x:c r="E213" s="57" t="str">
        <x:v>OLTP + OLAP</x:v>
      </x:c>
      <x:c r="F213" s="57" t="str">
        <x:v>-</x:v>
      </x:c>
      <x:c r="G213" s="59" t="str">
        <x:v>Closed-loan duration in calendar days, based on Close Date and inclusive of the Loan Date.</x:v>
      </x:c>
      <x:c r="H213" s="59" t="str">
        <x:v>IF( ISNOTBLANK([Close Date]), FLOOR(TOTALHOURS([Close Date] - [Loan Date]) / 24) + 1, "")</x:v>
      </x:c>
    </x:row>
    <x:row r="214" ht="15" customHeight="1">
      <x:c r="A214" s="57" t="str">
        <x:v>Loans</x:v>
      </x:c>
      <x:c r="B214" s="57" t="n">
        <x:v>41</x:v>
      </x:c>
      <x:c r="C214" s="59" t="str">
        <x:v>30D Principal Days</x:v>
      </x:c>
      <x:c r="D214" s="59" t="str">
        <x:v>VC / Decimal</x:v>
      </x:c>
      <x:c r="E214" s="57" t="str">
        <x:v>OLAP only</x:v>
      </x:c>
      <x:c r="F214" s="57" t="str">
        <x:v>-</x:v>
      </x:c>
      <x:c r="G214" s="59" t="str">
        <x:v>Derived date, time-window, age, or delinquency measure.</x:v>
      </x:c>
      <x:c r="H214" s="59" t="str">
        <x:v>IF( [Loan Date] &gt; TODAY(), 0, [Principal Amount] * ( FLOOR(TOTALHOURS(TODAY() - MAX(LIST([Loan Date], TODAY() - 29))) / 24) + 1 ))</x:v>
      </x:c>
    </x:row>
    <x:row r="215" ht="15" customHeight="1">
      <x:c r="A215" s="57" t="str">
        <x:v>Loans</x:v>
      </x:c>
      <x:c r="B215" s="57" t="n">
        <x:v>42</x:v>
      </x:c>
      <x:c r="C215" s="59" t="str">
        <x:v>Loan Age Days</x:v>
      </x:c>
      <x:c r="D215" s="59" t="str">
        <x:v>VC / Number</x:v>
      </x:c>
      <x:c r="E215" s="57" t="str">
        <x:v>OLAP only</x:v>
      </x:c>
      <x:c r="F215" s="57" t="str">
        <x:v>-</x:v>
      </x:c>
      <x:c r="G215" s="59" t="str">
        <x:v>Derived date, time-window, age, or delinquency measure.</x:v>
      </x:c>
      <x:c r="H215" s="59" t="str">
        <x:v>FLOOR(TOTALHOURS(TODAY() - [Loan Date]) / 24)</x:v>
      </x:c>
    </x:row>
    <x:row r="216" ht="15" customHeight="1">
      <x:c r="A216" s="57" t="str">
        <x:v>Loans</x:v>
      </x:c>
      <x:c r="B216" s="57" t="n">
        <x:v>43</x:v>
      </x:c>
      <x:c r="C216" s="59" t="str">
        <x:v>Loan Age Bucket</x:v>
      </x:c>
      <x:c r="D216" s="59" t="str">
        <x:v>VC / Text</x:v>
      </x:c>
      <x:c r="E216" s="57" t="str">
        <x:v>OLAP only</x:v>
      </x:c>
      <x:c r="F216" s="57" t="str">
        <x:v>-</x:v>
      </x:c>
      <x:c r="G216" s="59" t="str">
        <x:v>Derived grouping, ordering, or join value used by reporting or app presentation.</x:v>
      </x:c>
      <x:c r="H216" s="59" t="str">
        <x:v>IFS( [Loan Age Days] &lt;= 10, "0-10 Days", [Loan Age Days] &lt;= 20, "11-20 Days", [Loan Age Days] &lt;= 30, "21-30 Days", [Loan Age Days] &lt;= 60, "31-60 Days", TRUE, "60+ Days")</x:v>
      </x:c>
    </x:row>
    <x:row r="217" ht="15" customHeight="1">
      <x:c r="A217" s="57" t="str">
        <x:v>Loans</x:v>
      </x:c>
      <x:c r="B217" s="57" t="n">
        <x:v>44</x:v>
      </x:c>
      <x:c r="C217" s="59" t="str">
        <x:v>Defaulted Flag</x:v>
      </x:c>
      <x:c r="D217" s="59" t="str">
        <x:v>VC / Yes/No</x:v>
      </x:c>
      <x:c r="E217" s="57" t="str">
        <x:v>OLAP only</x:v>
      </x:c>
      <x:c r="F217" s="57" t="str">
        <x:v>-</x:v>
      </x:c>
      <x:c r="G217" s="59" t="str">
        <x:v>Derived business-state or risk indicator.</x:v>
      </x:c>
      <x:c r="H217" s="59" t="str">
        <x:v>IF([Defaulted], TRUE, FALSE)</x:v>
      </x:c>
    </x:row>
    <x:row r="218" ht="15" customHeight="1">
      <x:c r="A218" s="57" t="str">
        <x:v>Loans</x:v>
      </x:c>
      <x:c r="B218" s="57" t="n">
        <x:v>45</x:v>
      </x:c>
      <x:c r="C218" s="59" t="str">
        <x:v>Maximum Days Late</x:v>
      </x:c>
      <x:c r="D218" s="59" t="str">
        <x:v>VC / Number</x:v>
      </x:c>
      <x:c r="E218" s="57" t="str">
        <x:v>OLAP only</x:v>
      </x:c>
      <x:c r="F218" s="57" t="str">
        <x:v>-</x:v>
      </x:c>
      <x:c r="G218" s="59" t="str">
        <x:v>Derived business-state or risk indicator.</x:v>
      </x:c>
      <x:c r="H218" s="59" t="str">
        <x:v>MAX(LIST(0) + SELECT(Charges[Days Late], [Ref Loans] = [_THISROW].[Row ID]))</x:v>
      </x:c>
    </x:row>
    <x:row r="219" ht="15" customHeight="1">
      <x:c r="A219" s="57" t="str">
        <x:v>Loans</x:v>
      </x:c>
      <x:c r="B219" s="57" t="n">
        <x:v>46</x:v>
      </x:c>
      <x:c r="C219" s="59" t="str">
        <x:v>Last Interest Charge Date</x:v>
      </x:c>
      <x:c r="D219" s="59" t="str">
        <x:v>VC / Date</x:v>
      </x:c>
      <x:c r="E219" s="57" t="str">
        <x:v>OLTP + OLAP</x:v>
      </x:c>
      <x:c r="F219" s="57" t="str">
        <x:v>Searchable</x:v>
      </x:c>
      <x:c r="G219" s="59" t="str">
        <x:v>Latest related Charge Date; the lower boundary for calculating uncharged daily-interest accrual.</x:v>
      </x:c>
      <x:c r="H219" s="59" t="str">
        <x:v>MAX([Related Charges][Charge Date])</x:v>
      </x:c>
    </x:row>
    <x:row r="220" ht="15" customHeight="1">
      <x:c r="A220" s="57" t="str">
        <x:v>Loans</x:v>
      </x:c>
      <x:c r="B220" s="57" t="n">
        <x:v>47</x:v>
      </x:c>
      <x:c r="C220" s="59" t="str">
        <x:v>Accrued Interest Days</x:v>
      </x:c>
      <x:c r="D220" s="59" t="str">
        <x:v>VC / Number</x:v>
      </x:c>
      <x:c r="E220" s="57" t="str">
        <x:v>OLTP + OLAP</x:v>
      </x:c>
      <x:c r="F220" s="57" t="str">
        <x:v>-</x:v>
      </x:c>
      <x:c r="G220" s="59" t="str">
        <x:v>Elapsed accrual days since Last Interest Charge Date, or since Loan Date when no interest charge exists.</x:v>
      </x:c>
      <x:c r="H220" s="59" t="str">
        <x:v>IF( ISBLANK([Last Interest Charge Date]), TOTALHOURS(TODAY() - [Loan Date])/24, TOTALHOURS(TODAY() - [Last Interest Charge Date])/24)</x:v>
      </x:c>
    </x:row>
    <x:row r="221" ht="15" customHeight="1">
      <x:c r="A221" s="57" t="str">
        <x:v>Loans</x:v>
      </x:c>
      <x:c r="B221" s="57" t="n">
        <x:v>48</x:v>
      </x:c>
      <x:c r="C221" s="59" t="str">
        <x:v>Accrued Interest</x:v>
      </x:c>
      <x:c r="D221" s="59" t="str">
        <x:v>VC / Price</x:v>
      </x:c>
      <x:c r="E221" s="57" t="str">
        <x:v>OLTP + OLAP</x:v>
      </x:c>
      <x:c r="F221" s="57" t="str">
        <x:v>Show_If: [Loan Type] = "ดอกเบี้ยรายวัน"</x:v>
      </x:c>
      <x:c r="G221" s="59" t="str">
        <x:v>Uncharged interest for a daily-interest loan, calculated from Current Daily Interest and Accrued Interest Days.</x:v>
      </x:c>
      <x:c r="H221" s="59" t="str">
        <x:v>IF( [Loan Type] = "ดอกเบี้ยรายวัน", [Current Daily Interest] * [Accrued Interest Days], 0)</x:v>
      </x:c>
    </x:row>
    <x:row r="222" ht="15" customHeight="1">
      <x:c r="A222" s="57" t="str">
        <x:v>Loans</x:v>
      </x:c>
      <x:c r="B222" s="57" t="n">
        <x:v>49</x:v>
      </x:c>
      <x:c r="C222" s="59" t="str">
        <x:v>Expected Daily Interest Amount</x:v>
      </x:c>
      <x:c r="D222" s="59" t="str">
        <x:v>VC / Price</x:v>
      </x:c>
      <x:c r="E222" s="57" t="str">
        <x:v>OLTP + OLAP</x:v>
      </x:c>
      <x:c r="F222" s="57" t="str">
        <x:v>Hidden in OLTP + OLAP; OLAP Price with 2 decimal digits</x:v>
      </x:c>
      <x:c r="G222" s="59" t="str">
        <x:v>Open-loan daily-interest amount used by operational forecasts: entered daily interest for daily-interest loans and average contract interest for daily-installment loans; zero otherwise.</x:v>
      </x:c>
      <x:c r="H222" s="59" t="str">
        <x:v>IFS( [Loan Status] &lt;&gt; "ยังไม่ปิดยอด", 0, [Loan Type] = "ดอกเบี้ยรายวัน", [Current Daily Interest], AND( [Loan Type] = "ผ่อนชำระรายวัน", ISNOTBLANK([Loan Date]), ISNOTBLANK([Due Date]), [Due Date] &gt;= [Loan Date], [Daily Payment Amount] &gt; 0 ), ( ([Daily Payment Amount] * (TOTALHOURS([Due Date] - [Loan Date]) / 24 + 1)) - [Principal Amount] ) / (TOTALHOURS([Due Date] - [Loan Date]) / 24 + 1), TRUE, 0)</x:v>
      </x:c>
    </x:row>
    <x:row r="223" ht="21.600000381469727" customHeight="1">
      <x:c r="A223" s="57" t="str">
        <x:v>Loans</x:v>
      </x:c>
      <x:c r="B223" s="57" t="n">
        <x:v>50</x:v>
      </x:c>
      <x:c r="C223" s="59" t="str">
        <x:v>Daily Installment Base Principal</x:v>
      </x:c>
      <x:c r="D223" s="59" t="str">
        <x:v>VC / Number</x:v>
      </x:c>
      <x:c r="E223" s="57" t="str">
        <x:v>OLAP only</x:v>
      </x:c>
      <x:c r="F223" s="57" t="str">
        <x:v>Hidden; whole-baht base allocation</x:v>
      </x:c>
      <x:c r="G223" s="59" t="str">
        <x:v>Base principal allocated to every contract day before the one-baht earliest-day remainder is applied.</x:v>
      </x:c>
      <x:c r="H223" s="59" t="str">
        <x:v>IF(
  AND(
    [Loan Type] = "ผ่อนชำระรายวัน",
    ISNOTBLANK([Loan Date]),
    ISNOTBLANK([Due Date]),
    [Due Date] &gt;= [Loan Date]
  ),
  FLOOR(
    [Principal Amount]
    / (TOTALHOURS([Due Date] - [Loan Date]) / 24 + 1)
  ),
  0
)</x:v>
      </x:c>
    </x:row>
    <x:row r="224" ht="15" customHeight="1">
      <x:c r="A224" s="57" t="str">
        <x:v>Partners</x:v>
      </x:c>
      <x:c r="B224" s="57" t="n">
        <x:v>1</x:v>
      </x:c>
      <x:c r="C224" s="59" t="str">
        <x:v>_RowNumber</x:v>
      </x:c>
      <x:c r="D224" s="59" t="str">
        <x:v>Physical / Number</x:v>
      </x:c>
      <x:c r="E224" s="57" t="str">
        <x:v>OLTP + OLAP</x:v>
      </x:c>
      <x:c r="F224" s="57" t="str">
        <x:v>-</x:v>
      </x:c>
      <x:c r="G224" s="59" t="str">
        <x:v>System-generated source-row ordinal; not a stable business key.</x:v>
      </x:c>
      <x:c r="H224" s="59" t="str">
        <x:v>Stored source column</x:v>
      </x:c>
    </x:row>
    <x:row r="225" ht="15" customHeight="1">
      <x:c r="A225" s="57" t="str">
        <x:v>Partners</x:v>
      </x:c>
      <x:c r="B225" s="57" t="n">
        <x:v>2</x:v>
      </x:c>
      <x:c r="C225" s="59" t="str">
        <x:v>Row ID</x:v>
      </x:c>
      <x:c r="D225" s="59" t="str">
        <x:v>Physical / Text</x:v>
      </x:c>
      <x:c r="E225" s="57" t="str">
        <x:v>OLTP + OLAP</x:v>
      </x:c>
      <x:c r="F225" s="57" t="str">
        <x:v>Key, Required</x:v>
      </x:c>
      <x:c r="G225" s="59" t="str">
        <x:v>Immutable row key generated by the source database.</x:v>
      </x:c>
      <x:c r="H225" s="59" t="str">
        <x:v>Stored source column; initial value: UNIQUEID("PackedUUID")</x:v>
      </x:c>
    </x:row>
    <x:row r="226" ht="15" customHeight="1">
      <x:c r="A226" s="57" t="str">
        <x:v>Partners</x:v>
      </x:c>
      <x:c r="B226" s="57" t="n">
        <x:v>3</x:v>
      </x:c>
      <x:c r="C226" s="59" t="str">
        <x:v>Partner Name</x:v>
      </x:c>
      <x:c r="D226" s="59" t="str">
        <x:v>Physical / Name</x:v>
      </x:c>
      <x:c r="E226" s="57" t="str">
        <x:v>OLTP + OLAP</x:v>
      </x:c>
      <x:c r="F226" s="57" t="str">
        <x:v>OLTP: Label; OLAP: Label, Required</x:v>
      </x:c>
      <x:c r="G226" s="59" t="str">
        <x:v>Stores the authoritative source value for Partner Name.</x:v>
      </x:c>
      <x:c r="H226" s="59" t="str">
        <x:v>Stored source column</x:v>
      </x:c>
    </x:row>
    <x:row r="227" ht="15" customHeight="1">
      <x:c r="A227" s="57" t="str">
        <x:v>Partners</x:v>
      </x:c>
      <x:c r="B227" s="57" t="n">
        <x:v>4</x:v>
      </x:c>
      <x:c r="C227" s="59" t="str">
        <x:v>Partner Role</x:v>
      </x:c>
      <x:c r="D227" s="59" t="str">
        <x:v>Physical / Enum</x:v>
      </x:c>
      <x:c r="E227" s="57" t="str">
        <x:v>OLTP + OLAP</x:v>
      </x:c>
      <x:c r="F227" s="57" t="str">
        <x:v>OLTP: -; OLAP: Required</x:v>
      </x:c>
      <x:c r="G227" s="59" t="str">
        <x:v>Stores the authoritative source value for Partner Role.</x:v>
      </x:c>
      <x:c r="H227" s="59" t="str">
        <x:v>Stored source column</x:v>
      </x:c>
    </x:row>
    <x:row r="228" ht="15" customHeight="1">
      <x:c r="A228" s="57" t="str">
        <x:v>Partners</x:v>
      </x:c>
      <x:c r="B228" s="57" t="n">
        <x:v>5</x:v>
      </x:c>
      <x:c r="C228" s="59" t="str">
        <x:v>Email</x:v>
      </x:c>
      <x:c r="D228" s="59" t="str">
        <x:v>Physical / Email</x:v>
      </x:c>
      <x:c r="E228" s="57" t="str">
        <x:v>OLTP + OLAP</x:v>
      </x:c>
      <x:c r="F228" s="57" t="str">
        <x:v>OLTP: PII; OLAP: Required</x:v>
      </x:c>
      <x:c r="G228" s="59" t="str">
        <x:v>Stores the authoritative source value for Email.</x:v>
      </x:c>
      <x:c r="H228" s="59" t="str">
        <x:v>Stored source column</x:v>
      </x:c>
    </x:row>
    <x:row r="229" ht="21.600000381469727" customHeight="1">
      <x:c r="A229" s="57" t="str">
        <x:v>Partners</x:v>
      </x:c>
      <x:c r="B229" s="57" t="n">
        <x:v>6</x:v>
      </x:c>
      <x:c r="C229" s="59" t="str">
        <x:v>Related Cash Pool Contributions</x:v>
      </x:c>
      <x:c r="D229" s="59" t="str">
        <x:v>VC / List</x:v>
      </x:c>
      <x:c r="E229" s="57" t="str">
        <x:v>OLAP only</x:v>
      </x:c>
      <x:c r="F229" s="57" t="str">
        <x:v>-</x:v>
      </x:c>
      <x:c r="G229" s="59" t="str">
        <x:v>Reverse-reference list of child rows that point to this record.</x:v>
      </x:c>
      <x:c r="H229" s="59" t="str">
        <x:v>REF_ROWS("Cash Pool Contributions", "Ref Partner")</x:v>
      </x:c>
    </x:row>
    <x:row r="230" ht="15" customHeight="1">
      <x:c r="A230" s="57" t="str">
        <x:v>Partners</x:v>
      </x:c>
      <x:c r="B230" s="57" t="n">
        <x:v>7</x:v>
      </x:c>
      <x:c r="C230" s="59" t="str">
        <x:v>Related Settlements</x:v>
      </x:c>
      <x:c r="D230" s="59" t="str">
        <x:v>VC / List</x:v>
      </x:c>
      <x:c r="E230" s="57" t="str">
        <x:v>OLAP only</x:v>
      </x:c>
      <x:c r="F230" s="57" t="str">
        <x:v>-</x:v>
      </x:c>
      <x:c r="G230" s="59" t="str">
        <x:v>Reverse-reference list of child rows that point to this record.</x:v>
      </x:c>
      <x:c r="H230" s="59" t="str">
        <x:v>REF_ROWS("Settlements", "Ref Partner")</x:v>
      </x:c>
    </x:row>
    <x:row r="231" ht="15" customHeight="1">
      <x:c r="A231" s="57" t="str">
        <x:v>Partners</x:v>
      </x:c>
      <x:c r="B231" s="57" t="n">
        <x:v>8</x:v>
      </x:c>
      <x:c r="C231" s="59" t="str">
        <x:v>Current Pool Contribution</x:v>
      </x:c>
      <x:c r="D231" s="59" t="str">
        <x:v>VC / Price</x:v>
      </x:c>
      <x:c r="E231" s="57" t="str">
        <x:v>OLAP only</x:v>
      </x:c>
      <x:c r="F231" s="57" t="str">
        <x:v>-</x:v>
      </x:c>
      <x:c r="G231" s="59" t="str">
        <x:v>Derived financial aggregate or balance for operational or analytical use.</x:v>
      </x:c>
      <x:c r="H231" s="59" t="str">
        <x:v>SUM( SELECT( Cash Pool Contributions[Net Contribution], [Ref Partner] = [_THISROW].[Row ID] ))</x:v>
      </x:c>
    </x:row>
    <x:row r="232" ht="15" customHeight="1">
      <x:c r="A232" s="57" t="str">
        <x:v>Partners</x:v>
      </x:c>
      <x:c r="B232" s="57" t="n">
        <x:v>9</x:v>
      </x:c>
      <x:c r="C232" s="59" t="str">
        <x:v>Current Pool Share</x:v>
      </x:c>
      <x:c r="D232" s="59" t="str">
        <x:v>VC / Percent</x:v>
      </x:c>
      <x:c r="E232" s="57" t="str">
        <x:v>OLAP only</x:v>
      </x:c>
      <x:c r="F232" s="57" t="str">
        <x:v>-</x:v>
      </x:c>
      <x:c r="G232" s="59" t="str">
        <x:v>Derived ratio or performance measure calculated from governed source values.</x:v>
      </x:c>
      <x:c r="H232" s="59" t="str">
        <x:v>IF( SUM(Cash Pool Contributions[Net Contribution]) &gt; 0, [Current Pool Contribution] / SUM(Cash Pool Contributions[Net Contribution]), 0)</x:v>
      </x:c>
    </x:row>
    <x:row r="233" ht="15" customHeight="1">
      <x:c r="A233" s="57" t="str">
        <x:v>Partners</x:v>
      </x:c>
      <x:c r="B233" s="57" t="n">
        <x:v>10</x:v>
      </x:c>
      <x:c r="C233" s="59" t="str">
        <x:v>Total Profit Earned</x:v>
      </x:c>
      <x:c r="D233" s="59" t="str">
        <x:v>VC / Price</x:v>
      </x:c>
      <x:c r="E233" s="57" t="str">
        <x:v>OLAP only</x:v>
      </x:c>
      <x:c r="F233" s="57" t="str">
        <x:v>-</x:v>
      </x:c>
      <x:c r="G233" s="59" t="str">
        <x:v>Derived financial aggregate or balance for operational or analytical use.</x:v>
      </x:c>
      <x:c r="H233" s="59" t="str">
        <x:v>IFS( [Partner Role] = "A", SUM(Repayments[Partner A Profit]), [Partner Role] = "B", SUM(Repayments[Partner B Profit]))</x:v>
      </x:c>
    </x:row>
    <x:row r="234" ht="15" customHeight="1">
      <x:c r="A234" s="57" t="str">
        <x:v>Partners</x:v>
      </x:c>
      <x:c r="B234" s="57" t="n">
        <x:v>11</x:v>
      </x:c>
      <x:c r="C234" s="59" t="str">
        <x:v>Total Settlement Created</x:v>
      </x:c>
      <x:c r="D234" s="59" t="str">
        <x:v>VC / Price</x:v>
      </x:c>
      <x:c r="E234" s="57" t="str">
        <x:v>OLAP only</x:v>
      </x:c>
      <x:c r="F234" s="57" t="str">
        <x:v>-</x:v>
      </x:c>
      <x:c r="G234" s="59" t="str">
        <x:v>Derived financial aggregate or balance for operational or analytical use.</x:v>
      </x:c>
      <x:c r="H234" s="59" t="str">
        <x:v>SUM( [Related Settlements][Amount])</x:v>
      </x:c>
    </x:row>
    <x:row r="235" ht="21.600000381469727" customHeight="1">
      <x:c r="A235" s="57" t="str">
        <x:v>Partners</x:v>
      </x:c>
      <x:c r="B235" s="57" t="n">
        <x:v>12</x:v>
      </x:c>
      <x:c r="C235" s="59" t="str">
        <x:v>Completed Settlement</x:v>
      </x:c>
      <x:c r="D235" s="59" t="str">
        <x:v>VC / Price</x:v>
      </x:c>
      <x:c r="E235" s="57" t="str">
        <x:v>OLAP only</x:v>
      </x:c>
      <x:c r="F235" s="57" t="str">
        <x:v>-</x:v>
      </x:c>
      <x:c r="G235" s="59" t="str">
        <x:v>Derived financial aggregate or balance for operational or analytical use.</x:v>
      </x:c>
      <x:c r="H235" s="59" t="str">
        <x:v>SUM( SELECT( Settlements[Amount], AND([Ref Partner] = [_THISROW].[Row ID], [Status] = "Completed") ))</x:v>
      </x:c>
    </x:row>
    <x:row r="236" ht="32.400001525878906" customHeight="1">
      <x:c r="A236" s="57" t="str">
        <x:v>Partners</x:v>
      </x:c>
      <x:c r="B236" s="57" t="n">
        <x:v>13</x:v>
      </x:c>
      <x:c r="C236" s="59" t="str">
        <x:v>Pending Settlement</x:v>
      </x:c>
      <x:c r="D236" s="59" t="str">
        <x:v>VC / Price</x:v>
      </x:c>
      <x:c r="E236" s="57" t="str">
        <x:v>OLAP only</x:v>
      </x:c>
      <x:c r="F236" s="57" t="str">
        <x:v>-</x:v>
      </x:c>
      <x:c r="G236" s="59" t="str">
        <x:v>Derived financial aggregate or balance for operational or analytical use.</x:v>
      </x:c>
      <x:c r="H236" s="59" t="str">
        <x:v>SUM( SELECT( Settlements[Amount], AND([Ref Partner] = [_THISROW].[Row ID], [Status] = "Pending") ))</x:v>
      </x:c>
    </x:row>
    <x:row r="237" ht="15" customHeight="1">
      <x:c r="A237" s="57" t="str">
        <x:v>Partners</x:v>
      </x:c>
      <x:c r="B237" s="57" t="n">
        <x:v>14</x:v>
      </x:c>
      <x:c r="C237" s="59" t="str">
        <x:v>Available to Settle</x:v>
      </x:c>
      <x:c r="D237" s="59" t="str">
        <x:v>VC / Price</x:v>
      </x:c>
      <x:c r="E237" s="57" t="str">
        <x:v>OLAP only</x:v>
      </x:c>
      <x:c r="F237" s="57" t="str">
        <x:v>-</x:v>
      </x:c>
      <x:c r="G237" s="59" t="str">
        <x:v>Derived AppSheet value used by the app workflow, presentation, or reporting model.</x:v>
      </x:c>
      <x:c r="H237" s="59" t="str">
        <x:v>[Total Profit Earned] - [Total Settlement Created]</x:v>
      </x:c>
    </x:row>
    <x:row r="238" ht="15" customHeight="1">
      <x:c r="A238" s="57" t="str">
        <x:v>Partners</x:v>
      </x:c>
      <x:c r="B238" s="57" t="n">
        <x:v>15</x:v>
      </x:c>
      <x:c r="C238" s="59" t="str">
        <x:v>Summary - Available Pending Settlement</x:v>
      </x:c>
      <x:c r="D238" s="59" t="str">
        <x:v>VC / Text</x:v>
      </x:c>
      <x:c r="E238" s="57" t="str">
        <x:v>OLAP only</x:v>
      </x:c>
      <x:c r="F238" s="57" t="str">
        <x:v>-</x:v>
      </x:c>
      <x:c r="G238" s="59" t="str">
        <x:v>Presentation-oriented label or bilingual display value.</x:v>
      </x:c>
      <x:c r="H238" s="59" t="str">
        <x:v>IF( [Pending Settlement] &gt; 0, CONCATENATE("รอโอน / Pending Settlement: ", TEXT([Pending Settlement])), CONCATENATE("พร้อมโอน / Available to Settle: ", TEXT([Available to Settle])))</x:v>
      </x:c>
    </x:row>
    <x:row r="239" ht="15" customHeight="1">
      <x:c r="A239" s="57" t="str">
        <x:v>Partners</x:v>
      </x:c>
      <x:c r="B239" s="57" t="n">
        <x:v>16</x:v>
      </x:c>
      <x:c r="C239" s="59" t="str">
        <x:v>Summary - Completed Settlement</x:v>
      </x:c>
      <x:c r="D239" s="59" t="str">
        <x:v>VC / Text</x:v>
      </x:c>
      <x:c r="E239" s="57" t="str">
        <x:v>OLAP only</x:v>
      </x:c>
      <x:c r="F239" s="57" t="str">
        <x:v>-</x:v>
      </x:c>
      <x:c r="G239" s="59" t="str">
        <x:v>Presentation-oriented label or bilingual display value.</x:v>
      </x:c>
      <x:c r="H239" s="59" t="str">
        <x:v>CONCATENATE("โอนแล้ว / Completed Settlement: ", TEXT([Completed Settlement]))</x:v>
      </x:c>
    </x:row>
    <x:row r="240" ht="15" customHeight="1">
      <x:c r="A240" s="57" t="str">
        <x:v>Partners</x:v>
      </x:c>
      <x:c r="B240" s="57" t="n">
        <x:v>17</x:v>
      </x:c>
      <x:c r="C240" s="59" t="str">
        <x:v>Summary - Total Profit Earned</x:v>
      </x:c>
      <x:c r="D240" s="59" t="str">
        <x:v>VC / Text</x:v>
      </x:c>
      <x:c r="E240" s="57" t="str">
        <x:v>OLAP only</x:v>
      </x:c>
      <x:c r="F240" s="57" t="str">
        <x:v>-</x:v>
      </x:c>
      <x:c r="G240" s="59" t="str">
        <x:v>Presentation-oriented label or bilingual display value.</x:v>
      </x:c>
      <x:c r="H240" s="59" t="str">
        <x:v>CONCATENATE("กำไรรวมที่ได้รับ / Total Profit: ", TEXT([Total Profit Earned]))</x:v>
      </x:c>
    </x:row>
    <x:row r="241" ht="15" customHeight="1">
      <x:c r="A241" s="57" t="str">
        <x:v>Repayments</x:v>
      </x:c>
      <x:c r="B241" s="57" t="n">
        <x:v>1</x:v>
      </x:c>
      <x:c r="C241" s="59" t="str">
        <x:v>_RowNumber</x:v>
      </x:c>
      <x:c r="D241" s="59" t="str">
        <x:v>Physical / Number</x:v>
      </x:c>
      <x:c r="E241" s="57" t="str">
        <x:v>OLTP + OLAP</x:v>
      </x:c>
      <x:c r="F241" s="57" t="str">
        <x:v>-</x:v>
      </x:c>
      <x:c r="G241" s="59" t="str">
        <x:v>System-generated source-row ordinal; not a stable business key.</x:v>
      </x:c>
      <x:c r="H241" s="59" t="str">
        <x:v>Stored source column</x:v>
      </x:c>
    </x:row>
    <x:row r="242" ht="21.600000381469727" customHeight="1">
      <x:c r="A242" s="57" t="str">
        <x:v>Repayments</x:v>
      </x:c>
      <x:c r="B242" s="57" t="n">
        <x:v>2</x:v>
      </x:c>
      <x:c r="C242" s="59" t="str">
        <x:v>Row ID</x:v>
      </x:c>
      <x:c r="D242" s="59" t="str">
        <x:v>Physical / Text</x:v>
      </x:c>
      <x:c r="E242" s="57" t="str">
        <x:v>OLTP + OLAP</x:v>
      </x:c>
      <x:c r="F242" s="57" t="str">
        <x:v>Key, Required</x:v>
      </x:c>
      <x:c r="G242" s="59" t="str">
        <x:v>Immutable row key generated by the source database.</x:v>
      </x:c>
      <x:c r="H242" s="59" t="str">
        <x:v>Stored source column; initial value: UNIQUEID("PackedUUID")</x:v>
      </x:c>
    </x:row>
    <x:row r="243" ht="15" customHeight="1">
      <x:c r="A243" s="57" t="str">
        <x:v>Repayments</x:v>
      </x:c>
      <x:c r="B243" s="57" t="n">
        <x:v>3</x:v>
      </x:c>
      <x:c r="C243" s="59" t="str">
        <x:v>Payment Date</x:v>
      </x:c>
      <x:c r="D243" s="59" t="str">
        <x:v>Physical / Date</x:v>
      </x:c>
      <x:c r="E243" s="57" t="str">
        <x:v>OLTP + OLAP</x:v>
      </x:c>
      <x:c r="F243" s="57" t="str">
        <x:v>Label, Required</x:v>
      </x:c>
      <x:c r="G243" s="59" t="str">
        <x:v>Stores the source date for Payment Date.</x:v>
      </x:c>
      <x:c r="H243" s="59" t="str">
        <x:v>Stored source column; initial value: TODAY()</x:v>
      </x:c>
    </x:row>
    <x:row r="244" ht="21.600000381469727" customHeight="1">
      <x:c r="A244" s="57" t="str">
        <x:v>Repayments</x:v>
      </x:c>
      <x:c r="B244" s="57" t="n">
        <x:v>4</x:v>
      </x:c>
      <x:c r="C244" s="59" t="str">
        <x:v>Principal Paid</x:v>
      </x:c>
      <x:c r="D244" s="59" t="str">
        <x:v>Physical / Price</x:v>
      </x:c>
      <x:c r="E244" s="57" t="str">
        <x:v>OLTP + OLAP</x:v>
      </x:c>
      <x:c r="F244" s="57" t="str">
        <x:v>Required</x:v>
      </x:c>
      <x:c r="G244" s="59" t="str">
        <x:v>Stores the financially material source value for Principal Paid.</x:v>
      </x:c>
      <x:c r="H244" s="59" t="str">
        <x:v>Stored source column; initial value: 0; OLTP Valid_If: AND( [_THIS] &gt;= 0, [_THIS] &lt;= ( [Ref Charges].[Principal Due] - SUM( SELECT( Repayments[Principal Paid], AND( [Ref Charges] = [_THISROW].[Ref Charges], [Row ID] &lt;&gt; [_THISROW].[Row ID] ) ) ) ))</x:v>
      </x:c>
    </x:row>
    <x:row r="245" ht="21.600000381469727" customHeight="1">
      <x:c r="A245" s="57" t="str">
        <x:v>Repayments</x:v>
      </x:c>
      <x:c r="B245" s="57" t="n">
        <x:v>5</x:v>
      </x:c>
      <x:c r="C245" s="59" t="str">
        <x:v>Interest Paid</x:v>
      </x:c>
      <x:c r="D245" s="59" t="str">
        <x:v>Physical / Price</x:v>
      </x:c>
      <x:c r="E245" s="57" t="str">
        <x:v>OLTP + OLAP</x:v>
      </x:c>
      <x:c r="F245" s="57" t="str">
        <x:v>Required</x:v>
      </x:c>
      <x:c r="G245" s="59" t="str">
        <x:v>Stores the financially material source value for Interest Paid.</x:v>
      </x:c>
      <x:c r="H245" s="59" t="str">
        <x:v>Stored source column; initial value: 0; OLTP Valid_If: AND( [_THIS] &lt;= ( [Ref Charges].[Interest Due] - SUM( SELECT( Repayments[Interest Paid], AND( [Ref Charges] = [_THISROW].[Ref Charges], [Row ID] &lt;&gt; [_THISROW].[Row ID] ) ) ) ), OR([Principal Paid] &lt;&gt; 0, [_THIS] &lt;&gt; 0) )</x:v>
      </x:c>
    </x:row>
    <x:row r="246" ht="15" customHeight="1">
      <x:c r="A246" s="57" t="str">
        <x:v>Repayments</x:v>
      </x:c>
      <x:c r="B246" s="57" t="n">
        <x:v>6</x:v>
      </x:c>
      <x:c r="C246" s="59" t="str">
        <x:v>Notes</x:v>
      </x:c>
      <x:c r="D246" s="59" t="str">
        <x:v>Physical / LongText</x:v>
      </x:c>
      <x:c r="E246" s="57" t="str">
        <x:v>OLTP + OLAP</x:v>
      </x:c>
      <x:c r="F246" s="57" t="str">
        <x:v>-</x:v>
      </x:c>
      <x:c r="G246" s="59" t="str">
        <x:v>Stores the authoritative source value for Notes.</x:v>
      </x:c>
      <x:c r="H246" s="59" t="str">
        <x:v>Stored source column</x:v>
      </x:c>
    </x:row>
    <x:row r="247" ht="15" customHeight="1">
      <x:c r="A247" s="57" t="str">
        <x:v>Repayments</x:v>
      </x:c>
      <x:c r="B247" s="57" t="n">
        <x:v>7</x:v>
      </x:c>
      <x:c r="C247" s="59" t="str">
        <x:v>Ref Loans</x:v>
      </x:c>
      <x:c r="D247" s="59" t="str">
        <x:v>Physical / Ref</x:v>
      </x:c>
      <x:c r="E247" s="57" t="str">
        <x:v>OLTP + OLAP</x:v>
      </x:c>
      <x:c r="F247" s="57" t="str">
        <x:v>-</x:v>
      </x:c>
      <x:c r="G247" s="59" t="str">
        <x:v>Reference key that links this row to the configured parent table.</x:v>
      </x:c>
      <x:c r="H247" s="59" t="str">
        <x:v>Stored source column</x:v>
      </x:c>
    </x:row>
    <x:row r="248" ht="15" customHeight="1">
      <x:c r="A248" s="57" t="str">
        <x:v>Repayments</x:v>
      </x:c>
      <x:c r="B248" s="57" t="n">
        <x:v>8</x:v>
      </x:c>
      <x:c r="C248" s="59" t="str">
        <x:v>Ref Charges</x:v>
      </x:c>
      <x:c r="D248" s="59" t="str">
        <x:v>Physical / Ref</x:v>
      </x:c>
      <x:c r="E248" s="57" t="str">
        <x:v>OLTP + OLAP</x:v>
      </x:c>
      <x:c r="F248" s="57" t="str">
        <x:v>Required</x:v>
      </x:c>
      <x:c r="G248" s="59" t="str">
        <x:v>Reference key that links this row to the configured parent table.</x:v>
      </x:c>
      <x:c r="H248" s="59" t="str">
        <x:v>Stored source column</x:v>
      </x:c>
    </x:row>
    <x:row r="249" ht="15" customHeight="1">
      <x:c r="A249" s="57" t="str">
        <x:v>Repayments</x:v>
      </x:c>
      <x:c r="B249" s="57" t="n">
        <x:v>9</x:v>
      </x:c>
      <x:c r="C249" s="59" t="str">
        <x:v>Created By</x:v>
      </x:c>
      <x:c r="D249" s="59" t="str">
        <x:v>Physical / Email</x:v>
      </x:c>
      <x:c r="E249" s="57" t="str">
        <x:v>OLTP + OLAP</x:v>
      </x:c>
      <x:c r="F249" s="57" t="str">
        <x:v>PII</x:v>
      </x:c>
      <x:c r="G249" s="59" t="str">
        <x:v>Stores the authoritative source value for Created By.</x:v>
      </x:c>
      <x:c r="H249" s="59" t="str">
        <x:v>Stored source column; initial value: USEREMAIL()</x:v>
      </x:c>
    </x:row>
    <x:row r="250" ht="15" customHeight="1">
      <x:c r="A250" s="57" t="str">
        <x:v>Repayments</x:v>
      </x:c>
      <x:c r="B250" s="57" t="n">
        <x:v>10</x:v>
      </x:c>
      <x:c r="C250" s="59" t="str">
        <x:v>Borrower Name</x:v>
      </x:c>
      <x:c r="D250" s="59" t="str">
        <x:v>VC / Name</x:v>
      </x:c>
      <x:c r="E250" s="57" t="str">
        <x:v>OLTP + OLAP</x:v>
      </x:c>
      <x:c r="F250" s="57" t="str">
        <x:v>-</x:v>
      </x:c>
      <x:c r="G250" s="59" t="str">
        <x:v>Derived AppSheet value used by the app workflow, presentation, or reporting model.</x:v>
      </x:c>
      <x:c r="H250" s="59" t="str">
        <x:v>[Ref Loans].[Borrower Name]</x:v>
      </x:c>
    </x:row>
    <x:row r="251" ht="15" customHeight="1">
      <x:c r="A251" s="57" t="str">
        <x:v>Repayments</x:v>
      </x:c>
      <x:c r="B251" s="57" t="n">
        <x:v>11</x:v>
      </x:c>
      <x:c r="C251" s="59" t="str">
        <x:v>Principal Returned Days MTD</x:v>
      </x:c>
      <x:c r="D251" s="59" t="str">
        <x:v>VC / Number</x:v>
      </x:c>
      <x:c r="E251" s="57" t="str">
        <x:v>OLTP + OLAP</x:v>
      </x:c>
      <x:c r="F251" s="57" t="str">
        <x:v>-</x:v>
      </x:c>
      <x:c r="G251" s="59" t="str">
        <x:v>Derived ratio or performance measure calculated from governed source values.</x:v>
      </x:c>
      <x:c r="H251" s="59" t="str">
        <x:v>IF( OR([Principal Paid] &lt;= 0, [Payment Date] &gt; TODAY()), 0, [Principal Paid] * IF( AND( MONTH([Payment Date]) = MONTH(TODAY()), YEAR([Payment Date]) = YEAR(TODAY()) ), DAY(TODAY()) - DAY([Payment Date]) + 1, DAY(TODAY()) ))</x:v>
      </x:c>
    </x:row>
    <x:row r="252" ht="21.600000381469727" customHeight="1">
      <x:c r="A252" s="57" t="str">
        <x:v>Repayments</x:v>
      </x:c>
      <x:c r="B252" s="57" t="n">
        <x:v>12</x:v>
      </x:c>
      <x:c r="C252" s="59" t="str">
        <x:v>Pool Total at Payment Date</x:v>
      </x:c>
      <x:c r="D252" s="59" t="str">
        <x:v>VC / Price</x:v>
      </x:c>
      <x:c r="E252" s="57" t="str">
        <x:v>OLAP only</x:v>
      </x:c>
      <x:c r="F252" s="57" t="str">
        <x:v>-</x:v>
      </x:c>
      <x:c r="G252" s="59" t="str">
        <x:v>Derived date, time-window, age, or delinquency measure.</x:v>
      </x:c>
      <x:c r="H252" s="59" t="str">
        <x:v>SUM( SELECT( Cash Pool Contributions[Net Contribution], [Contribution Date] &lt;= [_THISROW].[Payment Date] ))</x:v>
      </x:c>
    </x:row>
    <x:row r="253" ht="15" customHeight="1">
      <x:c r="A253" s="57" t="str">
        <x:v>Repayments</x:v>
      </x:c>
      <x:c r="B253" s="57" t="n">
        <x:v>13</x:v>
      </x:c>
      <x:c r="C253" s="59" t="str">
        <x:v>Partner A Contribution at Payment Date</x:v>
      </x:c>
      <x:c r="D253" s="59" t="str">
        <x:v>VC / Price</x:v>
      </x:c>
      <x:c r="E253" s="57" t="str">
        <x:v>OLAP only</x:v>
      </x:c>
      <x:c r="F253" s="57" t="str">
        <x:v>-</x:v>
      </x:c>
      <x:c r="G253" s="59" t="str">
        <x:v>Derived date, time-window, age, or delinquency measure.</x:v>
      </x:c>
      <x:c r="H253" s="59" t="str">
        <x:v>SUM( SELECT( Cash Pool Contributions[Net Contribution], AND( [Contribution Date] &lt;= [_THISROW].[Payment Date], [Ref Partner].[Partner Role] = "A" ) ))</x:v>
      </x:c>
    </x:row>
    <x:row r="254" ht="15" customHeight="1">
      <x:c r="A254" s="57" t="str">
        <x:v>Repayments</x:v>
      </x:c>
      <x:c r="B254" s="57" t="n">
        <x:v>14</x:v>
      </x:c>
      <x:c r="C254" s="59" t="str">
        <x:v>Partner B Contribution at Payment Date</x:v>
      </x:c>
      <x:c r="D254" s="59" t="str">
        <x:v>VC / Price</x:v>
      </x:c>
      <x:c r="E254" s="57" t="str">
        <x:v>OLAP only</x:v>
      </x:c>
      <x:c r="F254" s="57" t="str">
        <x:v>-</x:v>
      </x:c>
      <x:c r="G254" s="59" t="str">
        <x:v>Derived date, time-window, age, or delinquency measure.</x:v>
      </x:c>
      <x:c r="H254" s="59" t="str">
        <x:v>SUM( SELECT( Cash Pool Contributions[Net Contribution], AND( [Contribution Date] &lt;= [_THISROW].[Payment Date], [Ref Partner].[Partner Role] = "B" ) ))</x:v>
      </x:c>
    </x:row>
    <x:row r="255" ht="15" customHeight="1">
      <x:c r="A255" s="57" t="str">
        <x:v>Repayments</x:v>
      </x:c>
      <x:c r="B255" s="57" t="n">
        <x:v>15</x:v>
      </x:c>
      <x:c r="C255" s="59" t="str">
        <x:v>Partner A Profit Share</x:v>
      </x:c>
      <x:c r="D255" s="59" t="str">
        <x:v>VC / Percent</x:v>
      </x:c>
      <x:c r="E255" s="57" t="str">
        <x:v>OLAP only</x:v>
      </x:c>
      <x:c r="F255" s="57" t="str">
        <x:v>-</x:v>
      </x:c>
      <x:c r="G255" s="59" t="str">
        <x:v>Derived ratio or performance measure calculated from governed source values.</x:v>
      </x:c>
      <x:c r="H255" s="59" t="str">
        <x:v>IF( [Pool Total at Payment Date] &gt; 0, [Partner A Contribution at Payment Date] / [Pool Total at Payment Date], 0)</x:v>
      </x:c>
    </x:row>
    <x:row r="256" ht="15" customHeight="1">
      <x:c r="A256" s="57" t="str">
        <x:v>Repayments</x:v>
      </x:c>
      <x:c r="B256" s="57" t="n">
        <x:v>16</x:v>
      </x:c>
      <x:c r="C256" s="59" t="str">
        <x:v>Partner B Profit Share</x:v>
      </x:c>
      <x:c r="D256" s="59" t="str">
        <x:v>VC / Percent</x:v>
      </x:c>
      <x:c r="E256" s="57" t="str">
        <x:v>OLAP only</x:v>
      </x:c>
      <x:c r="F256" s="57" t="str">
        <x:v>-</x:v>
      </x:c>
      <x:c r="G256" s="59" t="str">
        <x:v>Derived ratio or performance measure calculated from governed source values.</x:v>
      </x:c>
      <x:c r="H256" s="59" t="str">
        <x:v>IF( [Pool Total at Payment Date] &gt; 0, [Partner B Contribution at Payment Date] / [Pool Total at Payment Date], 0)</x:v>
      </x:c>
    </x:row>
    <x:row r="257" ht="15" customHeight="1">
      <x:c r="A257" s="57" t="str">
        <x:v>Repayments</x:v>
      </x:c>
      <x:c r="B257" s="57" t="n">
        <x:v>17</x:v>
      </x:c>
      <x:c r="C257" s="59" t="str">
        <x:v>Partner A Profit</x:v>
      </x:c>
      <x:c r="D257" s="59" t="str">
        <x:v>VC / Price</x:v>
      </x:c>
      <x:c r="E257" s="57" t="str">
        <x:v>OLAP only</x:v>
      </x:c>
      <x:c r="F257" s="57" t="str">
        <x:v>-</x:v>
      </x:c>
      <x:c r="G257" s="59" t="str">
        <x:v>Derived financial aggregate or balance for operational or analytical use.</x:v>
      </x:c>
      <x:c r="H257" s="59" t="str">
        <x:v>[Interest Paid] * [Partner A Profit Share]</x:v>
      </x:c>
    </x:row>
    <x:row r="258" ht="15" customHeight="1">
      <x:c r="A258" s="57" t="str">
        <x:v>Repayments</x:v>
      </x:c>
      <x:c r="B258" s="57" t="n">
        <x:v>18</x:v>
      </x:c>
      <x:c r="C258" s="59" t="str">
        <x:v>Partner B Profit</x:v>
      </x:c>
      <x:c r="D258" s="59" t="str">
        <x:v>VC / Price</x:v>
      </x:c>
      <x:c r="E258" s="57" t="str">
        <x:v>OLAP only</x:v>
      </x:c>
      <x:c r="F258" s="57" t="str">
        <x:v>-</x:v>
      </x:c>
      <x:c r="G258" s="59" t="str">
        <x:v>Derived financial aggregate or balance for operational or analytical use.</x:v>
      </x:c>
      <x:c r="H258" s="59" t="str">
        <x:v>[Interest Paid] * [Partner B Profit Share]</x:v>
      </x:c>
    </x:row>
    <x:row r="259" ht="15" customHeight="1">
      <x:c r="A259" s="57" t="str">
        <x:v>Repayments</x:v>
      </x:c>
      <x:c r="B259" s="57" t="n">
        <x:v>19</x:v>
      </x:c>
      <x:c r="C259" s="59" t="str">
        <x:v>Header - Profit</x:v>
      </x:c>
      <x:c r="D259" s="59" t="str">
        <x:v>VC / Text</x:v>
      </x:c>
      <x:c r="E259" s="57" t="str">
        <x:v>OLAP only</x:v>
      </x:c>
      <x:c r="F259" s="57" t="str">
        <x:v>-</x:v>
      </x:c>
      <x:c r="G259" s="59" t="str">
        <x:v>Presentation-oriented label or bilingual display value.</x:v>
      </x:c>
      <x:c r="H259" s="59" t="str">
        <x:v>💰 การแบ่งกำไร</x:v>
      </x:c>
    </x:row>
    <x:row r="260" ht="15" customHeight="1">
      <x:c r="A260" s="57" t="str">
        <x:v>Repayments</x:v>
      </x:c>
      <x:c r="B260" s="57" t="n">
        <x:v>20</x:v>
      </x:c>
      <x:c r="C260" s="59" t="str">
        <x:v>Borrower Name TE</x:v>
      </x:c>
      <x:c r="D260" s="59" t="str">
        <x:v>VC / Text</x:v>
      </x:c>
      <x:c r="E260" s="57" t="str">
        <x:v>OLTP + OLAP</x:v>
      </x:c>
      <x:c r="F260" s="57" t="str">
        <x:v>-</x:v>
      </x:c>
      <x:c r="G260" s="59" t="str">
        <x:v>Presentation-oriented label or bilingual display value.</x:v>
      </x:c>
      <x:c r="H260" s="59" t="str">
        <x:v>[Ref Loans].[Borrower Name TE]</x:v>
      </x:c>
    </x:row>
    <x:row r="261" ht="15" customHeight="1">
      <x:c r="A261" s="57" t="str">
        <x:v>Repayments</x:v>
      </x:c>
      <x:c r="B261" s="57" t="n">
        <x:v>21</x:v>
      </x:c>
      <x:c r="C261" s="59" t="str">
        <x:v>30D Principal Reduction Days</x:v>
      </x:c>
      <x:c r="D261" s="59" t="str">
        <x:v>VC / Decimal</x:v>
      </x:c>
      <x:c r="E261" s="57" t="str">
        <x:v>OLAP only</x:v>
      </x:c>
      <x:c r="F261" s="57" t="str">
        <x:v>-</x:v>
      </x:c>
      <x:c r="G261" s="59" t="str">
        <x:v>Derived date, time-window, age, or delinquency measure.</x:v>
      </x:c>
      <x:c r="H261" s="59" t="str">
        <x:v>IF( OR([Payment Date] &lt; TODAY() - 29, [Payment Date] &gt; TODAY()), 0, [Principal Paid] * ( FLOOR(TOTALHOURS(TODAY() - [Payment Date]) / 24) + 1 ))</x:v>
      </x:c>
    </x:row>
    <x:row r="262" ht="15" customHeight="1">
      <x:c r="A262" s="57" t="str">
        <x:v>Repayments</x:v>
      </x:c>
      <x:c r="B262" s="57" t="n">
        <x:v>22</x:v>
      </x:c>
      <x:c r="C262" s="59" t="str">
        <x:v>Amount Received</x:v>
      </x:c>
      <x:c r="D262" s="59" t="str">
        <x:v>VC / Price</x:v>
      </x:c>
      <x:c r="E262" s="57" t="str">
        <x:v>OLTP + OLAP</x:v>
      </x:c>
      <x:c r="F262" s="57" t="str">
        <x:v>-</x:v>
      </x:c>
      <x:c r="G262" s="59" t="str">
        <x:v>Derived financial aggregate or balance for operational or analytical use.</x:v>
      </x:c>
      <x:c r="H262" s="59" t="str">
        <x:v>[Principal Paid] + [Interest Paid]</x:v>
      </x:c>
    </x:row>
    <x:row r="263" ht="15" customHeight="1">
      <x:c r="A263" s="57" t="str">
        <x:v>Settlements</x:v>
      </x:c>
      <x:c r="B263" s="57" t="n">
        <x:v>1</x:v>
      </x:c>
      <x:c r="C263" s="59" t="str">
        <x:v>_RowNumber</x:v>
      </x:c>
      <x:c r="D263" s="59" t="str">
        <x:v>Physical / Number</x:v>
      </x:c>
      <x:c r="E263" s="57" t="str">
        <x:v>OLAP only</x:v>
      </x:c>
      <x:c r="F263" s="57" t="str">
        <x:v>-</x:v>
      </x:c>
      <x:c r="G263" s="59" t="str">
        <x:v>System-generated source-row ordinal; not a stable business key.</x:v>
      </x:c>
      <x:c r="H263" s="59" t="str">
        <x:v>Stored source column</x:v>
      </x:c>
    </x:row>
    <x:row r="264" ht="15" customHeight="1">
      <x:c r="A264" s="57" t="str">
        <x:v>Settlements</x:v>
      </x:c>
      <x:c r="B264" s="57" t="n">
        <x:v>2</x:v>
      </x:c>
      <x:c r="C264" s="59" t="str">
        <x:v>Row ID</x:v>
      </x:c>
      <x:c r="D264" s="59" t="str">
        <x:v>Physical / Text</x:v>
      </x:c>
      <x:c r="E264" s="57" t="str">
        <x:v>OLAP only</x:v>
      </x:c>
      <x:c r="F264" s="57" t="str">
        <x:v>Key, Required</x:v>
      </x:c>
      <x:c r="G264" s="59" t="str">
        <x:v>Immutable row key generated by the source database.</x:v>
      </x:c>
      <x:c r="H264" s="59" t="str">
        <x:v>Stored source column; initial value: UNIQUEID("PackedUUID")</x:v>
      </x:c>
    </x:row>
    <x:row r="265" ht="15" customHeight="1">
      <x:c r="A265" s="57" t="str">
        <x:v>Settlements</x:v>
      </x:c>
      <x:c r="B265" s="57" t="n">
        <x:v>3</x:v>
      </x:c>
      <x:c r="C265" s="59" t="str">
        <x:v>Settlement Date</x:v>
      </x:c>
      <x:c r="D265" s="59" t="str">
        <x:v>Physical / Date</x:v>
      </x:c>
      <x:c r="E265" s="57" t="str">
        <x:v>OLAP only</x:v>
      </x:c>
      <x:c r="F265" s="57" t="str">
        <x:v>Label</x:v>
      </x:c>
      <x:c r="G265" s="59" t="str">
        <x:v>Stores the source date for Settlement Date.</x:v>
      </x:c>
      <x:c r="H265" s="59" t="str">
        <x:v>Stored source column; initial value: TODAY()</x:v>
      </x:c>
    </x:row>
    <x:row r="266" ht="15" customHeight="1">
      <x:c r="A266" s="57" t="str">
        <x:v>Settlements</x:v>
      </x:c>
      <x:c r="B266" s="57" t="n">
        <x:v>4</x:v>
      </x:c>
      <x:c r="C266" s="59" t="str">
        <x:v>Ref Partner</x:v>
      </x:c>
      <x:c r="D266" s="59" t="str">
        <x:v>Physical / Ref</x:v>
      </x:c>
      <x:c r="E266" s="57" t="str">
        <x:v>OLAP only</x:v>
      </x:c>
      <x:c r="F266" s="57" t="str">
        <x:v>-</x:v>
      </x:c>
      <x:c r="G266" s="59" t="str">
        <x:v>Reference key that links this row to the configured parent table.</x:v>
      </x:c>
      <x:c r="H266" s="59" t="str">
        <x:v>Stored source column</x:v>
      </x:c>
    </x:row>
    <x:row r="267" ht="15" customHeight="1">
      <x:c r="A267" s="57" t="str">
        <x:v>Settlements</x:v>
      </x:c>
      <x:c r="B267" s="57" t="n">
        <x:v>5</x:v>
      </x:c>
      <x:c r="C267" s="59" t="str">
        <x:v>Amount</x:v>
      </x:c>
      <x:c r="D267" s="59" t="str">
        <x:v>Physical / Price</x:v>
      </x:c>
      <x:c r="E267" s="57" t="str">
        <x:v>OLAP only</x:v>
      </x:c>
      <x:c r="F267" s="57" t="str">
        <x:v>-</x:v>
      </x:c>
      <x:c r="G267" s="59" t="str">
        <x:v>Stores the financially material source value for Amount.</x:v>
      </x:c>
      <x:c r="H267" s="59" t="str">
        <x:v>Stored source column</x:v>
      </x:c>
    </x:row>
    <x:row r="268" ht="15" customHeight="1">
      <x:c r="A268" s="57" t="str">
        <x:v>Settlements</x:v>
      </x:c>
      <x:c r="B268" s="57" t="n">
        <x:v>6</x:v>
      </x:c>
      <x:c r="C268" s="59" t="str">
        <x:v>Status</x:v>
      </x:c>
      <x:c r="D268" s="59" t="str">
        <x:v>Physical / Enum</x:v>
      </x:c>
      <x:c r="E268" s="57" t="str">
        <x:v>OLAP only</x:v>
      </x:c>
      <x:c r="F268" s="57" t="str">
        <x:v>-</x:v>
      </x:c>
      <x:c r="G268" s="59" t="str">
        <x:v>Stores the controlled workflow state for Status.</x:v>
      </x:c>
      <x:c r="H268" s="59" t="str">
        <x:v>Stored source column; initial value: "Pending"</x:v>
      </x:c>
    </x:row>
    <x:row r="269" ht="15" customHeight="1">
      <x:c r="A269" s="57" t="str">
        <x:v>Settlements</x:v>
      </x:c>
      <x:c r="B269" s="57" t="n">
        <x:v>7</x:v>
      </x:c>
      <x:c r="C269" s="59" t="str">
        <x:v>Transfer Date</x:v>
      </x:c>
      <x:c r="D269" s="59" t="str">
        <x:v>Physical / Date</x:v>
      </x:c>
      <x:c r="E269" s="57" t="str">
        <x:v>OLAP only</x:v>
      </x:c>
      <x:c r="F269" s="57" t="str">
        <x:v>-</x:v>
      </x:c>
      <x:c r="G269" s="59" t="str">
        <x:v>Stores the source date for Transfer Date.</x:v>
      </x:c>
      <x:c r="H269" s="59" t="str">
        <x:v>Stored source column</x:v>
      </x:c>
    </x:row>
    <x:row r="270" ht="21.600000381469727" customHeight="1">
      <x:c r="A270" s="57" t="str">
        <x:v>Settlements</x:v>
      </x:c>
      <x:c r="B270" s="57" t="n">
        <x:v>8</x:v>
      </x:c>
      <x:c r="C270" s="59" t="str">
        <x:v>Notes</x:v>
      </x:c>
      <x:c r="D270" s="59" t="str">
        <x:v>Physical / LongText</x:v>
      </x:c>
      <x:c r="E270" s="57" t="str">
        <x:v>OLAP only</x:v>
      </x:c>
      <x:c r="F270" s="57" t="str">
        <x:v>-</x:v>
      </x:c>
      <x:c r="G270" s="59" t="str">
        <x:v>Stores the authoritative source value for Notes.</x:v>
      </x:c>
      <x:c r="H270" s="59" t="str">
        <x:v>Stored source column</x:v>
      </x:c>
    </x:row>
    <x:row r="271" ht="21.600000381469727" customHeight="1">
      <x:c r="A271" s="57" t="str">
        <x:v>Statistics</x:v>
      </x:c>
      <x:c r="B271" s="57" t="n">
        <x:v>1</x:v>
      </x:c>
      <x:c r="C271" s="59" t="str">
        <x:v>_RowNumber</x:v>
      </x:c>
      <x:c r="D271" s="59" t="str">
        <x:v>Physical / Number</x:v>
      </x:c>
      <x:c r="E271" s="57" t="str">
        <x:v>OLTP + OLAP</x:v>
      </x:c>
      <x:c r="F271" s="57" t="str">
        <x:v>-</x:v>
      </x:c>
      <x:c r="G271" s="59" t="str">
        <x:v>System-generated source-row ordinal; not a stable business key.</x:v>
      </x:c>
      <x:c r="H271" s="59" t="str">
        <x:v>Stored source column</x:v>
      </x:c>
    </x:row>
    <x:row r="272" ht="15" customHeight="1">
      <x:c r="A272" s="57" t="str">
        <x:v>Statistics</x:v>
      </x:c>
      <x:c r="B272" s="57" t="n">
        <x:v>2</x:v>
      </x:c>
      <x:c r="C272" s="59" t="str">
        <x:v>Row ID</x:v>
      </x:c>
      <x:c r="D272" s="59" t="str">
        <x:v>Physical / Text</x:v>
      </x:c>
      <x:c r="E272" s="57" t="str">
        <x:v>OLTP + OLAP</x:v>
      </x:c>
      <x:c r="F272" s="57" t="str">
        <x:v>Key, Required</x:v>
      </x:c>
      <x:c r="G272" s="59" t="str">
        <x:v>Immutable row key generated by the source database.</x:v>
      </x:c>
      <x:c r="H272" s="59" t="str">
        <x:v>Stored source column; initial value: UNIQUEID("PackedUUID")</x:v>
      </x:c>
    </x:row>
    <x:row r="273" ht="21.600000381469727" customHeight="1">
      <x:c r="A273" s="57" t="str">
        <x:v>Statistics</x:v>
      </x:c>
      <x:c r="B273" s="57" t="n">
        <x:v>3</x:v>
      </x:c>
      <x:c r="C273" s="59" t="str">
        <x:v>Statistics ID</x:v>
      </x:c>
      <x:c r="D273" s="59" t="str">
        <x:v>Physical / Text</x:v>
      </x:c>
      <x:c r="E273" s="57" t="str">
        <x:v>OLTP + OLAP</x:v>
      </x:c>
      <x:c r="F273" s="57" t="str">
        <x:v>Label</x:v>
      </x:c>
      <x:c r="G273" s="59" t="str">
        <x:v>Stores the authoritative source value for Statistics ID.</x:v>
      </x:c>
      <x:c r="H273" s="59" t="str">
        <x:v>Stored source column</x:v>
      </x:c>
    </x:row>
    <x:row r="274" ht="21.600000381469727" customHeight="1">
      <x:c r="A274" s="57" t="str">
        <x:v>Statistics</x:v>
      </x:c>
      <x:c r="B274" s="57" t="n">
        <x:v>4</x:v>
      </x:c>
      <x:c r="C274" s="59" t="str">
        <x:v>Total Profit</x:v>
      </x:c>
      <x:c r="D274" s="59" t="str">
        <x:v>VC / Price</x:v>
      </x:c>
      <x:c r="E274" s="57" t="str">
        <x:v>OLTP + OLAP</x:v>
      </x:c>
      <x:c r="F274" s="57" t="str">
        <x:v>-</x:v>
      </x:c>
      <x:c r="G274" s="59" t="str">
        <x:v>Derived financial aggregate or balance for operational or analytical use.</x:v>
      </x:c>
      <x:c r="H274" s="59" t="str">
        <x:v>SUM(Repayments[Interest Paid])</x:v>
      </x:c>
    </x:row>
    <x:row r="275" ht="15" customHeight="1">
      <x:c r="A275" s="57" t="str">
        <x:v>Statistics</x:v>
      </x:c>
      <x:c r="B275" s="57" t="n">
        <x:v>5</x:v>
      </x:c>
      <x:c r="C275" s="59" t="str">
        <x:v>Outstanding Principal</x:v>
      </x:c>
      <x:c r="D275" s="59" t="str">
        <x:v>VC / Price</x:v>
      </x:c>
      <x:c r="E275" s="57" t="str">
        <x:v>OLTP + OLAP</x:v>
      </x:c>
      <x:c r="F275" s="57" t="str">
        <x:v>-</x:v>
      </x:c>
      <x:c r="G275" s="59" t="str">
        <x:v>Derived financial aggregate or balance for operational or analytical use.</x:v>
      </x:c>
      <x:c r="H275" s="59" t="str">
        <x:v>SUM(Loans[Outstanding Principal])</x:v>
      </x:c>
    </x:row>
    <x:row r="276" ht="15" customHeight="1">
      <x:c r="A276" s="57" t="str">
        <x:v>Statistics</x:v>
      </x:c>
      <x:c r="B276" s="57" t="n">
        <x:v>6</x:v>
      </x:c>
      <x:c r="C276" s="59" t="str">
        <x:v>Active Loans</x:v>
      </x:c>
      <x:c r="D276" s="59" t="str">
        <x:v>VC / Number</x:v>
      </x:c>
      <x:c r="E276" s="57" t="str">
        <x:v>OLAP only</x:v>
      </x:c>
      <x:c r="F276" s="57" t="str">
        <x:v>-</x:v>
      </x:c>
      <x:c r="G276" s="59" t="str">
        <x:v>Derived count used for workload, portfolio, or risk analysis.</x:v>
      </x:c>
      <x:c r="H276" s="59" t="str">
        <x:v>COUNT( SELECT( Loans[Row ID], [Loan Status] = "ยังไม่ปิดยอด" ))</x:v>
      </x:c>
    </x:row>
    <x:row r="277" ht="15" customHeight="1">
      <x:c r="A277" s="57" t="str">
        <x:v>Statistics</x:v>
      </x:c>
      <x:c r="B277" s="57" t="n">
        <x:v>7</x:v>
      </x:c>
      <x:c r="C277" s="59" t="str">
        <x:v>Today's Profit</x:v>
      </x:c>
      <x:c r="D277" s="59" t="str">
        <x:v>VC / Price</x:v>
      </x:c>
      <x:c r="E277" s="57" t="str">
        <x:v>OLTP + OLAP</x:v>
      </x:c>
      <x:c r="F277" s="57" t="str">
        <x:v>-</x:v>
      </x:c>
      <x:c r="G277" s="59" t="str">
        <x:v>Derived financial aggregate or balance for operational or analytical use.</x:v>
      </x:c>
      <x:c r="H277" s="59" t="str">
        <x:v>SUM( SELECT( Repayments[Interest Paid], [Payment Date] = TODAY() ))</x:v>
      </x:c>
    </x:row>
    <x:row r="278" ht="21.600000381469727" customHeight="1">
      <x:c r="A278" s="57" t="str">
        <x:v>Statistics</x:v>
      </x:c>
      <x:c r="B278" s="57" t="n">
        <x:v>8</x:v>
      </x:c>
      <x:c r="C278" s="59" t="str">
        <x:v>Yesterday's Profit</x:v>
      </x:c>
      <x:c r="D278" s="59" t="str">
        <x:v>VC / Price</x:v>
      </x:c>
      <x:c r="E278" s="57" t="str">
        <x:v>OLTP + OLAP</x:v>
      </x:c>
      <x:c r="F278" s="57" t="str">
        <x:v>-</x:v>
      </x:c>
      <x:c r="G278" s="59" t="str">
        <x:v>Derived financial aggregate or balance for operational or analytical use.</x:v>
      </x:c>
      <x:c r="H278" s="59" t="str">
        <x:v>SUM( SELECT( Repayments[Interest Paid], [Payment Date] = TODAY() - 1 ))</x:v>
      </x:c>
    </x:row>
    <x:row r="279" ht="15" customHeight="1">
      <x:c r="A279" s="57" t="str">
        <x:v>Statistics</x:v>
      </x:c>
      <x:c r="B279" s="57" t="n">
        <x:v>9</x:v>
      </x:c>
      <x:c r="C279" s="59" t="str">
        <x:v>Realized Profit MTD</x:v>
      </x:c>
      <x:c r="D279" s="59" t="str">
        <x:v>VC / Price</x:v>
      </x:c>
      <x:c r="E279" s="57" t="str">
        <x:v>OLTP + OLAP</x:v>
      </x:c>
      <x:c r="F279" s="57" t="str">
        <x:v>-</x:v>
      </x:c>
      <x:c r="G279" s="59" t="str">
        <x:v>Derived financial aggregate or balance for operational or analytical use.</x:v>
      </x:c>
      <x:c r="H279" s="59" t="str">
        <x:v>SUM( SELECT( Repayments[Interest Paid], AND( MONTH([Payment Date]) = MONTH(TODAY()), YEAR([Payment Date]) = YEAR(TODAY()) ) ))</x:v>
      </x:c>
    </x:row>
    <x:row r="280" ht="15" customHeight="1">
      <x:c r="A280" s="57" t="str">
        <x:v>Statistics</x:v>
      </x:c>
      <x:c r="B280" s="57" t="n">
        <x:v>10</x:v>
      </x:c>
      <x:c r="C280" s="59" t="str">
        <x:v>Projected Monthly Profit</x:v>
      </x:c>
      <x:c r="D280" s="59" t="str">
        <x:v>VC / Price</x:v>
      </x:c>
      <x:c r="E280" s="57" t="str">
        <x:v>OLTP + OLAP</x:v>
      </x:c>
      <x:c r="F280" s="57" t="str">
        <x:v>-</x:v>
      </x:c>
      <x:c r="G280" s="59" t="str">
        <x:v>Forecast aggregate combining realized MTD interest, remaining interest on all open Charges, and forecast remaining interest; interpret using the monthly forecast assumptions below.</x:v>
      </x:c>
      <x:c r="H280" s="59" t="str">
        <x:v>[Realized Profit MTD]+[Today's Outstanding Interest]+[Forecast Remaining Interest]</x:v>
      </x:c>
    </x:row>
    <x:row r="281" ht="15" customHeight="1">
      <x:c r="A281" s="57" t="str">
        <x:v>Statistics</x:v>
      </x:c>
      <x:c r="B281" s="57" t="n">
        <x:v>11</x:v>
      </x:c>
      <x:c r="C281" s="59" t="str">
        <x:v>Pending Payment Amount</x:v>
      </x:c>
      <x:c r="D281" s="59" t="str">
        <x:v>VC / Price</x:v>
      </x:c>
      <x:c r="E281" s="57" t="str">
        <x:v>OLTP + OLAP</x:v>
      </x:c>
      <x:c r="F281" s="57" t="str">
        <x:v>-</x:v>
      </x:c>
      <x:c r="G281" s="59" t="str">
        <x:v>Broad sum of all Charges[Amount Remaining] across dates and references; currently reconciles to Collection only while source referential integrity and population scope remain aligned.</x:v>
      </x:c>
      <x:c r="H281" s="59" t="str">
        <x:v>SUM(Charges[Amount Remaining])</x:v>
      </x:c>
    </x:row>
    <x:row r="282" ht="15" customHeight="1">
      <x:c r="A282" s="57" t="str">
        <x:v>Statistics</x:v>
      </x:c>
      <x:c r="B282" s="57" t="n">
        <x:v>12</x:v>
      </x:c>
      <x:c r="C282" s="59" t="str">
        <x:v>Forecast Remaining Interest</x:v>
      </x:c>
      <x:c r="D282" s="59" t="str">
        <x:v>VC / Price</x:v>
      </x:c>
      <x:c r="E282" s="57" t="str">
        <x:v>OLTP + OLAP</x:v>
      </x:c>
      <x:c r="F282" s="57" t="str">
        <x:v>-</x:v>
      </x:c>
      <x:c r="G282" s="59" t="str">
        <x:v>Sum of loan-level expected interest; daily loans include accrued but uncharged interest plus interest for days after today through month-end.</x:v>
      </x:c>
      <x:c r="H282" s="59" t="str">
        <x:v>SUM(Loans[Expected Interest This Month])</x:v>
      </x:c>
    </x:row>
    <x:row r="283" ht="15" customHeight="1">
      <x:c r="A283" s="57" t="str">
        <x:v>Statistics</x:v>
      </x:c>
      <x:c r="B283" s="57" t="n">
        <x:v>13</x:v>
      </x:c>
      <x:c r="C283" s="59" t="str">
        <x:v>Today's Outstanding Interest</x:v>
      </x:c>
      <x:c r="D283" s="59" t="str">
        <x:v>VC / Price</x:v>
      </x:c>
      <x:c r="E283" s="57" t="str">
        <x:v>OLTP + OLAP</x:v>
      </x:c>
      <x:c r="F283" s="57" t="str">
        <x:v>-</x:v>
      </x:c>
      <x:c r="G283" s="59" t="str">
        <x:v>Remaining interest across all open Charges without a Charge Date filter; may include prior-period arrears.</x:v>
      </x:c>
      <x:c r="H283" s="59" t="str">
        <x:v>SUM(Charges[Interest Remaining])</x:v>
      </x:c>
    </x:row>
    <x:row r="284" ht="15" customHeight="1">
      <x:c r="A284" s="57" t="str">
        <x:v>Statistics</x:v>
      </x:c>
      <x:c r="B284" s="57" t="n">
        <x:v>14</x:v>
      </x:c>
      <x:c r="C284" s="59" t="str">
        <x:v>Net Principal Days MTD</x:v>
      </x:c>
      <x:c r="D284" s="59" t="str">
        <x:v>VC / Number</x:v>
      </x:c>
      <x:c r="E284" s="57" t="str">
        <x:v>OLTP + OLAP</x:v>
      </x:c>
      <x:c r="F284" s="57" t="str">
        <x:v>Show: FALSE</x:v>
      </x:c>
      <x:c r="G284" s="59" t="str">
        <x:v>Derived date, time-window, age, or delinquency measure.</x:v>
      </x:c>
      <x:c r="H284" s="59" t="str">
        <x:v>SUM(Loans[Principal Days MTD]) - SUM(Repayments[Principal Returned Days MTD])</x:v>
      </x:c>
    </x:row>
    <x:row r="285" ht="15" customHeight="1">
      <x:c r="A285" s="57" t="str">
        <x:v>Statistics</x:v>
      </x:c>
      <x:c r="B285" s="57" t="n">
        <x:v>15</x:v>
      </x:c>
      <x:c r="C285" s="59" t="str">
        <x:v>Forecast Remaining Principal Days</x:v>
      </x:c>
      <x:c r="D285" s="59" t="str">
        <x:v>VC / Number</x:v>
      </x:c>
      <x:c r="E285" s="57" t="str">
        <x:v>OLTP + OLAP</x:v>
      </x:c>
      <x:c r="F285" s="57" t="str">
        <x:v>Show: FALSE</x:v>
      </x:c>
      <x:c r="G285" s="59" t="str">
        <x:v>Derived date, time-window, age, or delinquency measure.</x:v>
      </x:c>
      <x:c r="H285" s="59" t="str">
        <x:v>[Outstanding Principal] * ( DAY(EOMONTH(TODAY(), 0)) - DAY(TODAY()) )</x:v>
      </x:c>
    </x:row>
    <x:row r="286" ht="15" customHeight="1">
      <x:c r="A286" s="57" t="str">
        <x:v>Statistics</x:v>
      </x:c>
      <x:c r="B286" s="57" t="n">
        <x:v>16</x:v>
      </x:c>
      <x:c r="C286" s="59" t="str">
        <x:v>Forecast Average Daily Outstanding Principal</x:v>
      </x:c>
      <x:c r="D286" s="59" t="str">
        <x:v>VC / Price</x:v>
      </x:c>
      <x:c r="E286" s="57" t="str">
        <x:v>OLTP + OLAP</x:v>
      </x:c>
      <x:c r="F286" s="57" t="str">
        <x:v>Show: FALSE</x:v>
      </x:c>
      <x:c r="G286" s="59" t="str">
        <x:v>Derived date, time-window, age, or delinquency measure.</x:v>
      </x:c>
      <x:c r="H286" s="59" t="str">
        <x:v>( [Net Principal Days MTD] + [Forecast Remaining Principal Days] )/ DAY(EOMONTH(TODAY(), 0))</x:v>
      </x:c>
    </x:row>
    <x:row r="287" ht="15" customHeight="1">
      <x:c r="A287" s="57" t="str">
        <x:v>Statistics</x:v>
      </x:c>
      <x:c r="B287" s="57" t="n">
        <x:v>17</x:v>
      </x:c>
      <x:c r="C287" s="59" t="str">
        <x:v>Forecast Monthly Return on ADO</x:v>
      </x:c>
      <x:c r="D287" s="59" t="str">
        <x:v>VC / Percent</x:v>
      </x:c>
      <x:c r="E287" s="57" t="str">
        <x:v>OLTP + OLAP</x:v>
      </x:c>
      <x:c r="F287" s="57" t="str">
        <x:v>-</x:v>
      </x:c>
      <x:c r="G287" s="59" t="str">
        <x:v>Derived ratio or performance measure calculated from governed source values.</x:v>
      </x:c>
      <x:c r="H287" s="59" t="str">
        <x:v>IF( [Forecast Average Daily Outstanding Principal] &gt; 0, [Projected Monthly Profit] / [Forecast Average Daily Outstanding Principal], 0)</x:v>
      </x:c>
    </x:row>
    <x:row r="288" ht="15" customHeight="1">
      <x:c r="A288" s="57" t="str">
        <x:v>Statistics</x:v>
      </x:c>
      <x:c r="B288" s="57" t="n">
        <x:v>18</x:v>
      </x:c>
      <x:c r="C288" s="59" t="str">
        <x:v>Peak Cash Pool 30D</x:v>
      </x:c>
      <x:c r="D288" s="59" t="str">
        <x:v>VC / Price</x:v>
      </x:c>
      <x:c r="E288" s="57" t="str">
        <x:v>OLAP only</x:v>
      </x:c>
      <x:c r="F288" s="57" t="str">
        <x:v>-</x:v>
      </x:c>
      <x:c r="G288" s="59" t="str">
        <x:v>Derived financial aggregate or balance for operational or analytical use.</x:v>
      </x:c>
      <x:c r="H288" s="59" t="str">
        <x:v>IF( COUNT(Daily Analytics 30 Days[Row ID]) &gt; 0, MAX(Daily Analytics 30 Days[Outstanding Principal EOD]), 0)</x:v>
      </x:c>
    </x:row>
    <x:row r="289" ht="15" customHeight="1">
      <x:c r="A289" s="57" t="str">
        <x:v>Statistics</x:v>
      </x:c>
      <x:c r="B289" s="57" t="n">
        <x:v>19</x:v>
      </x:c>
      <x:c r="C289" s="59" t="str">
        <x:v>Peak Cash Pool Date 30D</x:v>
      </x:c>
      <x:c r="D289" s="59" t="str">
        <x:v>VC / Date</x:v>
      </x:c>
      <x:c r="E289" s="57" t="str">
        <x:v>OLAP only</x:v>
      </x:c>
      <x:c r="F289" s="57" t="str">
        <x:v>-</x:v>
      </x:c>
      <x:c r="G289" s="59" t="str">
        <x:v>Derived date, time-window, age, or delinquency measure.</x:v>
      </x:c>
      <x:c r="H289" s="59" t="str">
        <x:v>MAX( SELECT( Daily Analytics 30 Days[Snapshot Date], [Outstanding Principal EOD] = [_THISROW].[Peak Cash Pool 30D] ))</x:v>
      </x:c>
    </x:row>
    <x:row r="290" ht="15" customHeight="1">
      <x:c r="A290" s="57" t="str">
        <x:v>Statistics</x:v>
      </x:c>
      <x:c r="B290" s="57" t="n">
        <x:v>20</x:v>
      </x:c>
      <x:c r="C290" s="59" t="str">
        <x:v>Expected Daily Interest</x:v>
      </x:c>
      <x:c r="D290" s="59" t="str">
        <x:v>VC / Price</x:v>
      </x:c>
      <x:c r="E290" s="57" t="str">
        <x:v>OLTP + OLAP</x:v>
      </x:c>
      <x:c r="F290" s="57" t="str">
        <x:v>-</x:v>
      </x:c>
      <x:c r="G290" s="59" t="str">
        <x:v>Derived financial aggregate or balance for operational or analytical use.</x:v>
      </x:c>
      <x:c r="H290" s="59" t="str">
        <x:v>SUM(Loans[Expected Daily Interest Amount])</x:v>
      </x:c>
    </x:row>
    <x:row r="291" ht="21.600000381469727" customHeight="1">
      <x:c r="A291" s="57" t="str">
        <x:v>Statistics</x:v>
      </x:c>
      <x:c r="B291" s="57" t="n">
        <x:v>21</x:v>
      </x:c>
      <x:c r="C291" s="59" t="str">
        <x:v>Total Profit of Outstanding Loans</x:v>
      </x:c>
      <x:c r="D291" s="59" t="str">
        <x:v>VC / Price</x:v>
      </x:c>
      <x:c r="E291" s="57" t="str">
        <x:v>OLTP + OLAP</x:v>
      </x:c>
      <x:c r="F291" s="57" t="str">
        <x:v>-</x:v>
      </x:c>
      <x:c r="G291" s="59" t="str">
        <x:v>Derived financial aggregate or balance for operational or analytical use.</x:v>
      </x:c>
      <x:c r="H291" s="59" t="str">
        <x:v>SUM(SELECT(Loans[Total Interest Received], [Loan Status] = "ยังไม่ปิดยอด"))</x:v>
      </x:c>
    </x:row>
    <x:row r="292" ht="15" customHeight="1">
      <x:c r="A292" s="57" t="str">
        <x:v>Statistics</x:v>
      </x:c>
      <x:c r="B292" s="57" t="n">
        <x:v>22</x:v>
      </x:c>
      <x:c r="C292" s="59" t="str">
        <x:v>Profit Coverage of Outstanding Principal</x:v>
      </x:c>
      <x:c r="D292" s="59" t="str">
        <x:v>VC / Percent</x:v>
      </x:c>
      <x:c r="E292" s="57" t="str">
        <x:v>OLTP + OLAP</x:v>
      </x:c>
      <x:c r="F292" s="57" t="str">
        <x:v>-</x:v>
      </x:c>
      <x:c r="G292" s="59" t="str">
        <x:v>Derived ratio or performance measure calculated from governed source values.</x:v>
      </x:c>
      <x:c r="H292" s="59" t="str">
        <x:v>IF([Outstanding Principal] &gt; 0, [Total Profit of Outstanding Loans] / [Outstanding Principal], 0)</x:v>
      </x:c>
    </x:row>
    <x:row r="293" ht="15" customHeight="1">
      <x:c r="A293" s="57" t="str">
        <x:v>Statistics</x:v>
      </x:c>
      <x:c r="B293" s="57" t="n">
        <x:v>23</x:v>
      </x:c>
      <x:c r="C293" s="59" t="str">
        <x:v>Header - Outstanding Loans</x:v>
      </x:c>
      <x:c r="D293" s="59" t="str">
        <x:v>VC / Text</x:v>
      </x:c>
      <x:c r="E293" s="57" t="str">
        <x:v>OLTP + OLAP</x:v>
      </x:c>
      <x:c r="F293" s="57" t="str">
        <x:v>-</x:v>
      </x:c>
      <x:c r="G293" s="59" t="str">
        <x:v>Presentation-oriented label or bilingual display value.</x:v>
      </x:c>
      <x:c r="H293" s="59" t="str">
        <x:v>"──── สินเชื่อคงค้าง / Outstanding Loans ────"</x:v>
      </x:c>
    </x:row>
    <x:row r="294" ht="15" customHeight="1">
      <x:c r="A294" s="57" t="str">
        <x:v>Statistics</x:v>
      </x:c>
      <x:c r="B294" s="57" t="n">
        <x:v>24</x:v>
      </x:c>
      <x:c r="C294" s="59" t="str">
        <x:v>Header - Monthly Forecast</x:v>
      </x:c>
      <x:c r="D294" s="59" t="str">
        <x:v>VC / Text</x:v>
      </x:c>
      <x:c r="E294" s="57" t="str">
        <x:v>OLTP + OLAP</x:v>
      </x:c>
      <x:c r="F294" s="57" t="str">
        <x:v>-</x:v>
      </x:c>
      <x:c r="G294" s="59" t="str">
        <x:v>Presentation-oriented label or bilingual display value.</x:v>
      </x:c>
      <x:c r="H294" s="59" t="str">
        <x:v>"──── พยากรณ์ / Forecast ────"</x:v>
      </x:c>
    </x:row>
    <x:row r="295" ht="15" customHeight="1">
      <x:c r="A295" s="57" t="str">
        <x:v>Statistics</x:v>
      </x:c>
      <x:c r="B295" s="57" t="n">
        <x:v>25</x:v>
      </x:c>
      <x:c r="C295" s="59" t="str">
        <x:v>Total Cash Pool</x:v>
      </x:c>
      <x:c r="D295" s="59" t="str">
        <x:v>VC / Price</x:v>
      </x:c>
      <x:c r="E295" s="57" t="str">
        <x:v>OLAP only</x:v>
      </x:c>
      <x:c r="F295" s="57" t="str">
        <x:v>-</x:v>
      </x:c>
      <x:c r="G295" s="59" t="str">
        <x:v>Derived financial aggregate or balance for operational or analytical use.</x:v>
      </x:c>
      <x:c r="H295" s="59" t="str">
        <x:v>SUM(Cash Pool Contributions[Net Contribution])</x:v>
      </x:c>
    </x:row>
    <x:row r="296" ht="15" customHeight="1">
      <x:c r="A296" s="57" t="str">
        <x:v>Statistics</x:v>
      </x:c>
      <x:c r="B296" s="57" t="n">
        <x:v>26</x:v>
      </x:c>
      <x:c r="C296" s="59" t="str">
        <x:v>Total Unsettled Profit</x:v>
      </x:c>
      <x:c r="D296" s="59" t="str">
        <x:v>VC / Price</x:v>
      </x:c>
      <x:c r="E296" s="57" t="str">
        <x:v>OLAP only</x:v>
      </x:c>
      <x:c r="F296" s="57" t="str">
        <x:v>-</x:v>
      </x:c>
      <x:c r="G296" s="59" t="str">
        <x:v>Derived financial aggregate or balance for operational or analytical use.</x:v>
      </x:c>
      <x:c r="H296" s="59" t="str">
        <x:v>SUM(Partners[Total Profit Earned]) - SUM(Partners[Completed Settlement])</x:v>
      </x:c>
    </x:row>
    <x:row r="297" ht="15" customHeight="1">
      <x:c r="A297" s="57" t="str">
        <x:v>Statistics</x:v>
      </x:c>
      <x:c r="B297" s="57" t="n">
        <x:v>27</x:v>
      </x:c>
      <x:c r="C297" s="59" t="str">
        <x:v>Expected Loan Account Balance</x:v>
      </x:c>
      <x:c r="D297" s="59" t="str">
        <x:v>VC / Price</x:v>
      </x:c>
      <x:c r="E297" s="57" t="str">
        <x:v>OLAP only</x:v>
      </x:c>
      <x:c r="F297" s="57" t="str">
        <x:v>-</x:v>
      </x:c>
      <x:c r="G297" s="59" t="str">
        <x:v>Derived count used for workload, portfolio, or risk analysis.</x:v>
      </x:c>
      <x:c r="H297" s="59" t="str">
        <x:v>[Total Cash Pool]-[Outstanding Principal]+[Total Unsettled Profit]</x:v>
      </x:c>
    </x:row>
    <x:row r="298" ht="15" customHeight="1">
      <x:c r="A298" s="57" t="str">
        <x:v>Statistics</x:v>
      </x:c>
      <x:c r="B298" s="57" t="n">
        <x:v>28</x:v>
      </x:c>
      <x:c r="C298" s="59" t="str">
        <x:v>Header - Cash Pool</x:v>
      </x:c>
      <x:c r="D298" s="59" t="str">
        <x:v>VC / Text</x:v>
      </x:c>
      <x:c r="E298" s="57" t="str">
        <x:v>OLAP only</x:v>
      </x:c>
      <x:c r="F298" s="57" t="str">
        <x:v>-</x:v>
      </x:c>
      <x:c r="G298" s="59" t="str">
        <x:v>Presentation-oriented label or bilingual display value.</x:v>
      </x:c>
      <x:c r="H298" s="59" t="str">
        <x:v>"──── เงินกองกลาง / Cash Pool ────"</x:v>
      </x:c>
    </x:row>
    <x:row r="299" ht="15" customHeight="1">
      <x:c r="A299" s="57" t="str">
        <x:v>Statistics</x:v>
      </x:c>
      <x:c r="B299" s="57" t="n">
        <x:v>29</x:v>
      </x:c>
      <x:c r="C299" s="59" t="str">
        <x:v>Total Outstanding Principal</x:v>
      </x:c>
      <x:c r="D299" s="59" t="str">
        <x:v>VC / Price</x:v>
      </x:c>
      <x:c r="E299" s="57" t="str">
        <x:v>OLAP only</x:v>
      </x:c>
      <x:c r="F299" s="57" t="str">
        <x:v>-</x:v>
      </x:c>
      <x:c r="G299" s="59" t="str">
        <x:v>Derived financial aggregate or balance for operational or analytical use.</x:v>
      </x:c>
      <x:c r="H299" s="59" t="str">
        <x:v>[Outstanding Principal]</x:v>
      </x:c>
    </x:row>
    <x:row r="300" ht="15" customHeight="1">
      <x:c r="A300" s="57" t="str">
        <x:v>Statistics</x:v>
      </x:c>
      <x:c r="B300" s="57" t="n">
        <x:v>30</x:v>
      </x:c>
      <x:c r="C300" s="59" t="str">
        <x:v>Top 3 Borrower Concentration</x:v>
      </x:c>
      <x:c r="D300" s="59" t="str">
        <x:v>VC / Percent</x:v>
      </x:c>
      <x:c r="E300" s="57" t="str">
        <x:v>OLAP only</x:v>
      </x:c>
      <x:c r="F300" s="57" t="str">
        <x:v>-</x:v>
      </x:c>
      <x:c r="G300" s="59" t="str">
        <x:v>Derived AppSheet value used by the app workflow, presentation, or reporting model.</x:v>
      </x:c>
      <x:c r="H300" s="59" t="str">
        <x:v>IF( [Total Outstanding Principal] = 0, 0, SUM( TOP( SORT( SELECT( Borrowers[Total Outstanding Principal], [Total Outstanding Principal] &gt; 0 ), TRUE ), 3 ) ) / [Total Outstanding Principal])</x:v>
      </x:c>
    </x:row>
    <x:row r="301">
      <x:c r="A301" s="57" t="str">
        <x:v>Statistics</x:v>
      </x:c>
      <x:c r="B301" s="57" t="n">
        <x:v>31</x:v>
      </x:c>
      <x:c r="C301" s="59" t="str">
        <x:v>Borrowers Fully Paid Today</x:v>
      </x:c>
      <x:c r="D301" s="59" t="str">
        <x:v>VC / Number</x:v>
      </x:c>
      <x:c r="E301" s="57" t="str">
        <x:v>OLTP + OLAP</x:v>
      </x:c>
      <x:c r="F301" s="57" t="str">
        <x:v>Show_If: COUNT( SELECT( Borrowers[Row ID], [Daily Collection Status] = "Fully Paid" )) &gt; 0; Searchable</x:v>
      </x:c>
      <x:c r="G301" s="59" t="str">
        <x:v>Derived AppSheet value used by the app workflow, presentation, or reporting model.</x:v>
      </x:c>
      <x:c r="H301" s="59" t="str">
        <x:v>COUNT( SELECT( Borrowers[Row ID], [Daily Collection Status] = "Fully Paid" ))</x:v>
      </x:c>
    </x:row>
    <x:row r="302">
      <x:c r="A302" s="57" t="str">
        <x:v>Statistics</x:v>
      </x:c>
      <x:c r="B302" s="57" t="n">
        <x:v>32</x:v>
      </x:c>
      <x:c r="C302" s="59" t="str">
        <x:v>Borrowers Partially Paid Today</x:v>
      </x:c>
      <x:c r="D302" s="59" t="str">
        <x:v>VC / Number</x:v>
      </x:c>
      <x:c r="E302" s="57" t="str">
        <x:v>OLTP + OLAP</x:v>
      </x:c>
      <x:c r="F302" s="57" t="str">
        <x:v>Show_If: COUNT( SELECT( Borrowers[Row ID], [Daily Collection Status] = "Partially Paid" )) &gt; 0; Searchable</x:v>
      </x:c>
      <x:c r="G302" s="59" t="str">
        <x:v>Derived AppSheet value used by the app workflow, presentation, or reporting model.</x:v>
      </x:c>
      <x:c r="H302" s="59" t="str">
        <x:v>COUNT( SELECT( Borrowers[Row ID], [Daily Collection Status] = "Partially Paid" ))</x:v>
      </x:c>
    </x:row>
    <x:row r="303">
      <x:c r="A303" s="57" t="str">
        <x:v>Statistics</x:v>
      </x:c>
      <x:c r="B303" s="57" t="n">
        <x:v>33</x:v>
      </x:c>
      <x:c r="C303" s="59" t="str">
        <x:v>Borrowers with Overdue Payment</x:v>
      </x:c>
      <x:c r="D303" s="59" t="str">
        <x:v>VC / Number</x:v>
      </x:c>
      <x:c r="E303" s="57" t="str">
        <x:v>OLTP + OLAP</x:v>
      </x:c>
      <x:c r="F303" s="57" t="str">
        <x:v>Show_If: COUNT( SELECT( Borrowers[Row ID], [Daily Collection Status] = "Overdue" )) &gt; 0; Searchable</x:v>
      </x:c>
      <x:c r="G303" s="59" t="str">
        <x:v>Derived AppSheet value used by the app workflow, presentation, or reporting model.</x:v>
      </x:c>
      <x:c r="H303" s="59" t="str">
        <x:v>COUNT( SELECT( Borrowers[Row ID], [Daily Collection Status] = "Overdue" ))</x:v>
      </x:c>
    </x:row>
    <x:row r="304">
      <x:c r="A304" s="57" t="str">
        <x:v>Statistics</x:v>
      </x:c>
      <x:c r="B304" s="57" t="n">
        <x:v>34</x:v>
      </x:c>
      <x:c r="C304" s="59" t="str">
        <x:v>Borrowers Not Paid Today</x:v>
      </x:c>
      <x:c r="D304" s="59" t="str">
        <x:v>VC / Number</x:v>
      </x:c>
      <x:c r="E304" s="57" t="str">
        <x:v>OLTP + OLAP</x:v>
      </x:c>
      <x:c r="F304" s="57" t="str">
        <x:v>Show_If: COUNT( SELECT( Borrowers[Row ID], [Daily Collection Status] = "Not Paid" )) &gt; 0; Searchable</x:v>
      </x:c>
      <x:c r="G304" s="59" t="str">
        <x:v>Derived AppSheet value used by the app workflow, presentation, or reporting model.</x:v>
      </x:c>
      <x:c r="H304" s="59" t="str">
        <x:v>COUNT( SELECT( Borrowers[Row ID], [Daily Collection Status] = "Not Paid" ))</x:v>
      </x:c>
    </x:row>
    <x:row r="305">
      <x:c r="A305" s="57" t="str">
        <x:v>Statistics</x:v>
      </x:c>
      <x:c r="B305" s="57" t="n">
        <x:v>35</x:v>
      </x:c>
      <x:c r="C305" s="59" t="str">
        <x:v>Header - Collection Status</x:v>
      </x:c>
      <x:c r="D305" s="59" t="str">
        <x:v>VC / Text</x:v>
      </x:c>
      <x:c r="E305" s="57" t="str">
        <x:v>OLTP + OLAP</x:v>
      </x:c>
      <x:c r="F305" s="57" t="str">
        <x:v>-</x:v>
      </x:c>
      <x:c r="G305" s="59" t="str">
        <x:v>Presentation-oriented label or bilingual display value.</x:v>
      </x:c>
      <x:c r="H305" s="59" t="str">
        <x:v>"──── สถานะชำระ / Collection ────"</x:v>
      </x:c>
    </x:row>
    <x:row r="306">
      <x:c r="A306" s="57" t="str">
        <x:v>Statistics</x:v>
      </x:c>
      <x:c r="B306" s="57" t="n">
        <x:v>36</x:v>
      </x:c>
      <x:c r="C306" s="59" t="str">
        <x:v>Amount Due Today</x:v>
      </x:c>
      <x:c r="D306" s="59" t="str">
        <x:v>VC / Price</x:v>
      </x:c>
      <x:c r="E306" s="57" t="str">
        <x:v>OLAP only</x:v>
      </x:c>
      <x:c r="F306" s="57" t="str">
        <x:v>-</x:v>
      </x:c>
      <x:c r="G306" s="59" t="str">
        <x:v>Derived financial aggregate or balance for operational or analytical use.</x:v>
      </x:c>
      <x:c r="H306" s="59" t="str">
        <x:v>SUM( SELECT( Charges[Amount Due], [Charge Date] = TODAY() ))</x:v>
      </x:c>
    </x:row>
    <x:row r="307">
      <x:c r="A307" s="57" t="str">
        <x:v>Statistics</x:v>
      </x:c>
      <x:c r="B307" s="57" t="n">
        <x:v>37</x:v>
      </x:c>
      <x:c r="C307" s="59" t="str">
        <x:v>Amount Collected Today</x:v>
      </x:c>
      <x:c r="D307" s="59" t="str">
        <x:v>VC / Price</x:v>
      </x:c>
      <x:c r="E307" s="57" t="str">
        <x:v>OLAP only</x:v>
      </x:c>
      <x:c r="F307" s="57" t="str">
        <x:v>-</x:v>
      </x:c>
      <x:c r="G307" s="59" t="str">
        <x:v>Derived financial aggregate or balance for operational or analytical use.</x:v>
      </x:c>
      <x:c r="H307" s="59" t="str">
        <x:v>SUM( SELECT( Charges[Total Paid], [Charge Date] = TODAY() ))</x:v>
      </x:c>
    </x:row>
    <x:row r="308">
      <x:c r="A308" s="57" t="str">
        <x:v>Statistics</x:v>
      </x:c>
      <x:c r="B308" s="57" t="n">
        <x:v>38</x:v>
      </x:c>
      <x:c r="C308" s="59" t="str">
        <x:v>Amount Outstanding Today</x:v>
      </x:c>
      <x:c r="D308" s="59" t="str">
        <x:v>VC / Price</x:v>
      </x:c>
      <x:c r="E308" s="57" t="str">
        <x:v>OLAP only</x:v>
      </x:c>
      <x:c r="F308" s="57" t="str">
        <x:v>-</x:v>
      </x:c>
      <x:c r="G308" s="59" t="str">
        <x:v>Derived financial aggregate or balance for operational or analytical use.</x:v>
      </x:c>
      <x:c r="H308" s="59" t="str">
        <x:v>SUM( SELECT( Charges[Amount Remaining], [Charge Date] = TODAY() ))</x:v>
      </x:c>
    </x:row>
    <x:row r="309">
      <x:c r="A309" t="str">
        <x:v>Statistics</x:v>
      </x:c>
      <x:c r="B309" t="n">
        <x:v>39</x:v>
      </x:c>
      <x:c r="C309" t="str">
        <x:v>Amount Collection Rate Today</x:v>
      </x:c>
      <x:c r="D309" t="str">
        <x:v>VC / Number</x:v>
      </x:c>
      <x:c r="E309" t="str">
        <x:v>OLAP only</x:v>
      </x:c>
      <x:c r="F309" t="str">
        <x:v>-</x:v>
      </x:c>
      <x:c r="G309" t="str">
        <x:v>Derived ratio or performance measure calculated from governed source values.</x:v>
      </x:c>
      <x:c r="H309" t="str">
        <x:v>IF( [Amount Due Today] = 0, 0, [Amount Collected Today] / [Amount Due Today])</x:v>
      </x:c>
    </x:row>
  </x:sheetData>
  <x:mergeCells>
    <x:mergeCell ref="A2:H2"/>
    <x:mergeCell ref="A1:H1"/>
  </x:mergeCells>
  <x:conditionalFormatting sqref="E5:E300">
    <x:cfRule type="containsText" dxfId="0" priority="1" operator="containsText" text="OLAP only"/>
    <x:cfRule type="containsText" dxfId="1" priority="2" operator="containsText" text="OLTP only"/>
  </x:conditionalFormatting>
  <x:pageMargins left="0.7" right="0.7" top="0.75" bottom="0.75" header="0.3" footer="0.3"/>
  <x:tableParts count="1">
    <x:tablePart xmlns:r="http://schemas.openxmlformats.org/officeDocument/2006/relationships" r:id="Rea9592ba42cd4cb4"/>
  </x:tableParts>
</x:worksheet>
</file>

<file path=xl/worksheets/sheet4.xml><?xml version="1.0" encoding="utf-8"?>
<x:worksheet xmlns:x="http://schemas.openxmlformats.org/spreadsheetml/2006/main">
  <x:sheetViews>
    <x:sheetView showGridLines="0" workbookViewId="0"/>
  </x:sheetViews>
  <x:sheetFormatPr baseColWidth="8" defaultRowHeight="15"/>
  <x:cols>
    <x:col min="1" max="1" width="28" customWidth="1"/>
    <x:col min="2" max="2" width="28" customWidth="1"/>
    <x:col min="3" max="3" width="28" customWidth="1"/>
    <x:col min="4" max="4" width="42" customWidth="1"/>
    <x:col min="5" max="5" width="40" customWidth="1"/>
  </x:cols>
  <x:sheetData>
    <x:row r="1" ht="30" customHeight="1">
      <x:c r="A1" s="3" t="inlineStr">
        <x:is>
          <x:t xml:space="preserve">Relationships</x:t>
        </x:is>
      </x:c>
    </x:row>
    <x:row r="2" ht="30" customHeight="1">
      <x:c r="A2" s="7" t="str">
        <x:v>Direct Ref targets and Is a part of? settings retain the prior 2026-08-30 reconciliation; Charges[Ref Loans] Required = TRUE was re-verified in production OLTP on 2026-09-01.</x:v>
      </x:c>
    </x:row>
    <x:row r="4" ht="30" customHeight="1">
      <x:c r="A4" s="50" t="inlineStr">
        <x:is>
          <x:t xml:space="preserve">Child table</x:t>
        </x:is>
      </x:c>
      <x:c r="B4" s="51" t="inlineStr">
        <x:is>
          <x:t xml:space="preserve">Ref column</x:t>
        </x:is>
      </x:c>
      <x:c r="C4" s="51" t="inlineStr">
        <x:is>
          <x:t xml:space="preserve">Parent table</x:t>
        </x:is>
      </x:c>
      <x:c r="D4" s="51" t="inlineStr">
        <x:is>
          <x:t xml:space="preserve">Cardinality</x:t>
        </x:is>
      </x:c>
      <x:c r="E4" s="52" t="inlineStr">
        <x:is>
          <x:t xml:space="preserve">Is a part of?</x:t>
        </x:is>
      </x:c>
    </x:row>
    <x:row r="5" ht="15" customHeight="1">
      <x:c r="A5" s="56" t="inlineStr">
        <x:is>
          <x:t xml:space="preserve">Calendar</x:t>
        </x:is>
      </x:c>
      <x:c r="B5" s="56" t="inlineStr">
        <x:is>
          <x:t xml:space="preserve">Assessment Borrower</x:t>
        </x:is>
      </x:c>
      <x:c r="C5" s="56" t="inlineStr">
        <x:is>
          <x:t xml:space="preserve">Borrowers</x:t>
        </x:is>
      </x:c>
      <x:c r="D5" s="58" t="inlineStr">
        <x:is>
          <x:t xml:space="preserve">Borrowers 1 -&gt; many Calendar</x:t>
        </x:is>
      </x:c>
      <x:c r="E5" s="58" t="inlineStr">
        <x:is>
          <x:t xml:space="preserve">Independent child lifecycle</x:t>
        </x:is>
      </x:c>
    </x:row>
    <x:row r="6" ht="15" customHeight="1">
      <x:c r="A6" s="57" t="inlineStr">
        <x:is>
          <x:t xml:space="preserve">Cash Pool Contributions</x:t>
        </x:is>
      </x:c>
      <x:c r="B6" s="57" t="inlineStr">
        <x:is>
          <x:t xml:space="preserve">Ref Partner</x:t>
        </x:is>
      </x:c>
      <x:c r="C6" s="57" t="inlineStr">
        <x:is>
          <x:t xml:space="preserve">Partners</x:t>
        </x:is>
      </x:c>
      <x:c r="D6" s="59" t="inlineStr">
        <x:is>
          <x:t xml:space="preserve">Partners 1 -&gt; many Cash Pool Contributions</x:t>
        </x:is>
      </x:c>
      <x:c r="E6" s="59" t="inlineStr">
        <x:is>
          <x:t xml:space="preserve">Independent child lifecycle</x:t>
        </x:is>
      </x:c>
    </x:row>
    <x:row r="7" ht="15" customHeight="1">
      <x:c r="A7" s="57" t="inlineStr">
        <x:is>
          <x:t xml:space="preserve">Charges</x:t>
        </x:is>
      </x:c>
      <x:c r="B7" s="57" t="inlineStr">
        <x:is>
          <x:t xml:space="preserve">Ref Loans</x:t>
        </x:is>
      </x:c>
      <x:c r="C7" s="57" t="inlineStr">
        <x:is>
          <x:t xml:space="preserve">Loans</x:t>
        </x:is>
      </x:c>
      <x:c r="D7" s="59" t="inlineStr">
        <x:is>
          <x:t xml:space="preserve">Loans 1 -&gt; many Charges</x:t>
        </x:is>
      </x:c>
      <x:c r="E7" s="59" t="str">
        <x:v>Part of parent; Ref required in OLTP</x:v>
      </x:c>
    </x:row>
    <x:row r="8" ht="15" customHeight="1">
      <x:c r="A8" s="57" t="inlineStr">
        <x:is>
          <x:t xml:space="preserve">Loan Assessment</x:t>
        </x:is>
      </x:c>
      <x:c r="B8" s="57" t="inlineStr">
        <x:is>
          <x:t xml:space="preserve">Ref Borrower</x:t>
        </x:is>
      </x:c>
      <x:c r="C8" s="57" t="inlineStr">
        <x:is>
          <x:t xml:space="preserve">Borrowers</x:t>
        </x:is>
      </x:c>
      <x:c r="D8" s="59" t="inlineStr">
        <x:is>
          <x:t xml:space="preserve">Borrowers 1 -&gt; many Loan Assessment</x:t>
        </x:is>
      </x:c>
      <x:c r="E8" s="59" t="inlineStr">
        <x:is>
          <x:t xml:space="preserve">Independent child lifecycle</x:t>
        </x:is>
      </x:c>
    </x:row>
    <x:row r="9" ht="15" customHeight="1">
      <x:c r="A9" s="57" t="inlineStr">
        <x:is>
          <x:t xml:space="preserve">Loans</x:t>
        </x:is>
      </x:c>
      <x:c r="B9" s="57" t="inlineStr">
        <x:is>
          <x:t xml:space="preserve">Ref Borrowers</x:t>
        </x:is>
      </x:c>
      <x:c r="C9" s="57" t="inlineStr">
        <x:is>
          <x:t xml:space="preserve">Borrowers</x:t>
        </x:is>
      </x:c>
      <x:c r="D9" s="59" t="inlineStr">
        <x:is>
          <x:t xml:space="preserve">Borrowers 1 -&gt; many Loans</x:t>
        </x:is>
      </x:c>
      <x:c r="E9" s="59" t="inlineStr">
        <x:is>
          <x:t xml:space="preserve">Child rows are marked part-of parent</x:t>
        </x:is>
      </x:c>
    </x:row>
    <x:row r="10" ht="15" customHeight="1">
      <x:c r="A10" s="57" t="inlineStr">
        <x:is>
          <x:t xml:space="preserve">Repayments</x:t>
        </x:is>
      </x:c>
      <x:c r="B10" s="57" t="inlineStr">
        <x:is>
          <x:t xml:space="preserve">Ref Loans</x:t>
        </x:is>
      </x:c>
      <x:c r="C10" s="57" t="inlineStr">
        <x:is>
          <x:t xml:space="preserve">Loans</x:t>
        </x:is>
      </x:c>
      <x:c r="D10" s="59" t="inlineStr">
        <x:is>
          <x:t xml:space="preserve">Loans 1 -&gt; many Repayments</x:t>
        </x:is>
      </x:c>
      <x:c r="E10" s="59" t="inlineStr">
        <x:is>
          <x:t xml:space="preserve">Independent child lifecycle</x:t>
        </x:is>
      </x:c>
    </x:row>
    <x:row r="11" ht="15" customHeight="1">
      <x:c r="A11" s="57" t="inlineStr">
        <x:is>
          <x:t xml:space="preserve">Repayments</x:t>
        </x:is>
      </x:c>
      <x:c r="B11" s="57" t="inlineStr">
        <x:is>
          <x:t xml:space="preserve">Ref Charges</x:t>
        </x:is>
      </x:c>
      <x:c r="C11" s="57" t="inlineStr">
        <x:is>
          <x:t xml:space="preserve">Charges</x:t>
        </x:is>
      </x:c>
      <x:c r="D11" s="59" t="inlineStr">
        <x:is>
          <x:t xml:space="preserve">Charges 1 -&gt; many Repayments</x:t>
        </x:is>
      </x:c>
      <x:c r="E11" s="59" t="inlineStr">
        <x:is>
          <x:t xml:space="preserve">Child rows are marked part-of parent</x:t>
        </x:is>
      </x:c>
    </x:row>
    <x:row r="12" ht="15" customHeight="1">
      <x:c r="A12" s="57" t="inlineStr">
        <x:is>
          <x:t xml:space="preserve">Settlements</x:t>
        </x:is>
      </x:c>
      <x:c r="B12" s="57" t="inlineStr">
        <x:is>
          <x:t xml:space="preserve">Ref Partner</x:t>
        </x:is>
      </x:c>
      <x:c r="C12" s="57" t="inlineStr">
        <x:is>
          <x:t xml:space="preserve">Partners</x:t>
        </x:is>
      </x:c>
      <x:c r="D12" s="59" t="inlineStr">
        <x:is>
          <x:t xml:space="preserve">Partners 1 -&gt; many Settlements</x:t>
        </x:is>
      </x:c>
      <x:c r="E12" s="59" t="inlineStr">
        <x:is>
          <x:t xml:space="preserve">Independent child lifecycle</x:t>
        </x:is>
      </x:c>
    </x:row>
  </x:sheetData>
  <x:mergeCells>
    <x:mergeCell ref="A2:E2"/>
    <x:mergeCell ref="A1:E1"/>
  </x:mergeCells>
  <x:pageMargins left="0.7" right="0.7" top="0.75" bottom="0.75" header="0.3" footer="0.3"/>
  <x:tableParts count="1">
    <x:tablePart xmlns:r="http://schemas.openxmlformats.org/officeDocument/2006/relationships" r:id="R55195301a0544cc0"/>
  </x:tableParts>
</x:worksheet>
</file>

<file path=xl/worksheets/sheet5.xml><?xml version="1.0" encoding="utf-8"?>
<x:worksheet xmlns:x="http://schemas.openxmlformats.org/spreadsheetml/2006/main">
  <x:sheetViews>
    <x:sheetView showGridLines="0" workbookViewId="0"/>
  </x:sheetViews>
  <x:sheetFormatPr baseColWidth="8" defaultRowHeight="15"/>
  <x:cols>
    <x:col min="1" max="1" width="10" customWidth="1"/>
    <x:col min="2" max="2" width="34" customWidth="1"/>
    <x:col min="3" max="3" width="24" customWidth="1"/>
    <x:col min="4" max="4" width="62" customWidth="1"/>
    <x:col min="5" max="5" width="22" customWidth="1"/>
    <x:col min="6" max="6" width="14" customWidth="1"/>
    <x:col min="7" max="7" width="58" customWidth="1"/>
    <x:col min="8" max="8" width="28" customWidth="1"/>
  </x:cols>
  <x:sheetData>
    <x:row r="1" ht="30" customHeight="1">
      <x:c r="A1" s="3" t="str">
        <x:v>Slices</x:v>
      </x:c>
      <x:c r="B1"/>
      <x:c r="C1"/>
      <x:c r="D1"/>
      <x:c r="E1"/>
      <x:c r="F1"/>
      <x:c r="G1"/>
      <x:c r="H1"/>
    </x:row>
    <x:row r="2" ht="30" customHeight="1">
      <x:c r="A2" s="7" t="str">
        <x:v>Live slice filters, update permissions, purposes, and included-column counts; Visible Borrowers column membership re-verified on 2026-09-01.</x:v>
      </x:c>
      <x:c r="B2"/>
      <x:c r="C2"/>
      <x:c r="D2"/>
      <x:c r="E2"/>
      <x:c r="F2"/>
      <x:c r="G2"/>
      <x:c r="H2"/>
    </x:row>
    <x:row r="3">
      <x:c r="A3"/>
      <x:c r="B3"/>
      <x:c r="C3"/>
      <x:c r="D3"/>
      <x:c r="E3"/>
      <x:c r="F3"/>
      <x:c r="G3"/>
      <x:c r="H3"/>
    </x:row>
    <x:row r="4" ht="30" customHeight="1">
      <x:c r="A4" s="50" t="str">
        <x:v>App</x:v>
      </x:c>
      <x:c r="B4" s="51" t="str">
        <x:v>Slice</x:v>
      </x:c>
      <x:c r="C4" s="51" t="str">
        <x:v>Source</x:v>
      </x:c>
      <x:c r="D4" s="51" t="str">
        <x:v>Row Filter</x:v>
      </x:c>
      <x:c r="E4" s="51" t="str">
        <x:v>Update Mode</x:v>
      </x:c>
      <x:c r="F4" s="51" t="str">
        <x:v>Column Count</x:v>
      </x:c>
      <x:c r="G4" s="51" t="str">
        <x:v>Purpose</x:v>
      </x:c>
      <x:c r="H4" s="52" t="str">
        <x:v>Comment</x:v>
      </x:c>
    </x:row>
    <x:row r="5" ht="15" customHeight="1">
      <x:c r="A5" s="56" t="str">
        <x:v>OLTP</x:v>
      </x:c>
      <x:c r="B5" s="58" t="str">
        <x:v>Todays Collection Board</x:v>
      </x:c>
      <x:c r="C5" s="56" t="str">
        <x:v>Borrowers</x:v>
      </x:c>
      <x:c r="D5" s="58" t="str">
        <x:v>ISNOTBLANK([Daily Collection Status])</x:v>
      </x:c>
      <x:c r="E5" s="56" t="str">
        <x:v>Read-only</x:v>
      </x:c>
      <x:c r="F5" s="56" t="n">
        <x:v>10</x:v>
      </x:c>
      <x:c r="G5" s="58" t="str">
        <x:v>Read-only borrower workboard restricted to borrowers with a current collection status.</x:v>
      </x:c>
      <x:c r="H5" s="58"/>
    </x:row>
    <x:row r="6" ht="15" customHeight="1">
      <x:c r="A6" s="56" t="str">
        <x:v>OLTP</x:v>
      </x:c>
      <x:c r="B6" s="58" t="str">
        <x:v>Visible Borrowers</x:v>
      </x:c>
      <x:c r="C6" s="56" t="str">
        <x:v>Borrowers</x:v>
      </x:c>
      <x:c r="D6" s="58" t="str">
        <x:v>NOT([Hidden Flag])</x:v>
      </x:c>
      <x:c r="E6" s="56" t="str">
        <x:v>Adds, updates, deletes</x:v>
      </x:c>
      <x:c r="F6" s="56" t="n">
        <x:v>32</x:v>
      </x:c>
      <x:c r="G6" s="58" t="str">
        <x:v>Editable borrower-list slice excluding hidden rows; includes the principal-coverage metric.</x:v>
      </x:c>
      <x:c r="H6" s="58" t="str">
        <x:v>Primary OLTP borrower-list slice. Excludes rows where [Hidden Flag] is TRUE; base-table relationships, loans, collections, and calculations remain unchanged.</x:v>
      </x:c>
    </x:row>
    <x:row r="7" ht="15" customHeight="1">
      <x:c r="A7" s="57" t="str">
        <x:v>OLAP</x:v>
      </x:c>
      <x:c r="B7" s="59" t="str">
        <x:v>Borrowers with Outstanding Loans</x:v>
      </x:c>
      <x:c r="C7" s="57" t="str">
        <x:v>Borrowers</x:v>
      </x:c>
      <x:c r="D7" s="59" t="str">
        <x:v>[Total Outstanding Principal] &gt; 0</x:v>
      </x:c>
      <x:c r="E7" s="57" t="str">
        <x:v>Read-only</x:v>
      </x:c>
      <x:c r="F7" s="57" t="n">
        <x:v>56</x:v>
      </x:c>
      <x:c r="G7" s="59" t="str">
        <x:v>Read-only OLAP subset of borrowers whose outstanding principal is greater than zero.</x:v>
      </x:c>
      <x:c r="H7" s="59"/>
    </x:row>
    <x:row r="8" ht="15" customHeight="1">
      <x:c r="A8" s="57" t="str">
        <x:v>OLAP</x:v>
      </x:c>
      <x:c r="B8" s="59" t="str">
        <x:v>Profit Contribution 30D</x:v>
      </x:c>
      <x:c r="C8" s="57" t="str">
        <x:v>Borrowers</x:v>
      </x:c>
      <x:c r="D8" s="59" t="str">
        <x:v>[Profit Last 30 Days] &gt; 0</x:v>
      </x:c>
      <x:c r="E8" s="57" t="str">
        <x:v>Read-only</x:v>
      </x:c>
      <x:c r="F8" s="57" t="n">
        <x:v>56</x:v>
      </x:c>
      <x:c r="G8" s="59" t="str">
        <x:v>Read-only OLAP subset of borrowers contributing positive interest profit in the last 30 days.</x:v>
      </x:c>
      <x:c r="H8" s="59"/>
    </x:row>
    <x:row r="9" ht="15" customHeight="1">
      <x:c r="A9" s="57" t="str">
        <x:v>OLAP</x:v>
      </x:c>
      <x:c r="B9" s="59" t="str">
        <x:v>Reporting Borrowers</x:v>
      </x:c>
      <x:c r="C9" s="57" t="str">
        <x:v>Borrowers</x:v>
      </x:c>
      <x:c r="D9" s="59" t="str">
        <x:v>TRUE</x:v>
      </x:c>
      <x:c r="E9" s="57" t="str">
        <x:v>Read-only</x:v>
      </x:c>
      <x:c r="F9" s="57" t="n">
        <x:v>40</x:v>
      </x:c>
      <x:c r="G9" s="59" t="str">
        <x:v>Curated, read-only borrower feed for downstream reporting and dashboard reconciliation.</x:v>
      </x:c>
      <x:c r="H9" s="59"/>
    </x:row>
    <x:row r="10" ht="15" customHeight="1">
      <x:c r="A10" s="57" t="str">
        <x:v>OLAP</x:v>
      </x:c>
      <x:c r="B10" s="59" t="str">
        <x:v>Reporting Charges</x:v>
      </x:c>
      <x:c r="C10" s="57" t="str">
        <x:v>Charges</x:v>
      </x:c>
      <x:c r="D10" s="59" t="str">
        <x:v>TRUE</x:v>
      </x:c>
      <x:c r="E10" s="57" t="str">
        <x:v>Read-only</x:v>
      </x:c>
      <x:c r="F10" s="57" t="n">
        <x:v>20</x:v>
      </x:c>
      <x:c r="G10" s="59" t="str">
        <x:v>Curated, read-only charge feed with due, paid, remaining, lateness, and borrower fields.</x:v>
      </x:c>
      <x:c r="H10" s="59"/>
    </x:row>
    <x:row r="11" ht="15" customHeight="1">
      <x:c r="A11" s="57" t="str">
        <x:v>OLAP</x:v>
      </x:c>
      <x:c r="B11" s="59" t="str">
        <x:v>Daily Analytics 7 Days</x:v>
      </x:c>
      <x:c r="C11" s="57" t="str">
        <x:v>Daily Analytics</x:v>
      </x:c>
      <x:c r="D11" s="59" t="str">
        <x:v>[Snapshot Date] &gt;= NOW() - 7</x:v>
      </x:c>
      <x:c r="E11" s="57" t="str">
        <x:v>Read-only</x:v>
      </x:c>
      <x:c r="F11" s="57" t="n">
        <x:v>23</x:v>
      </x:c>
      <x:c r="G11" s="59" t="str">
        <x:v>Rolling seven-day daily-analytics window for recent trend analysis.</x:v>
      </x:c>
      <x:c r="H11" s="59"/>
    </x:row>
    <x:row r="12" ht="15" customHeight="1">
      <x:c r="A12" s="57" t="str">
        <x:v>OLAP</x:v>
      </x:c>
      <x:c r="B12" s="59" t="str">
        <x:v>Daily Analytics 30 Days</x:v>
      </x:c>
      <x:c r="C12" s="57" t="str">
        <x:v>Daily Analytics</x:v>
      </x:c>
      <x:c r="D12" s="59" t="str">
        <x:v>[Snapshot Date] &gt;= NOW() - 30</x:v>
      </x:c>
      <x:c r="E12" s="57" t="str">
        <x:v>Read-only</x:v>
      </x:c>
      <x:c r="F12" s="57" t="n">
        <x:v>23</x:v>
      </x:c>
      <x:c r="G12" s="59" t="str">
        <x:v>Rolling 30-day daily-analytics window for monthly and near-term trend analysis.</x:v>
      </x:c>
      <x:c r="H12" s="59"/>
    </x:row>
    <x:row r="13" ht="15" customHeight="1">
      <x:c r="A13" s="57" t="str">
        <x:v>OLAP</x:v>
      </x:c>
      <x:c r="B13" s="59" t="str">
        <x:v>Daily Analytics 90 Days</x:v>
      </x:c>
      <x:c r="C13" s="57" t="str">
        <x:v>Daily Analytics</x:v>
      </x:c>
      <x:c r="D13" s="59" t="str">
        <x:v>[Snapshot Date] &gt;= NOW() - 90</x:v>
      </x:c>
      <x:c r="E13" s="57" t="str">
        <x:v>Read-only</x:v>
      </x:c>
      <x:c r="F13" s="57" t="n">
        <x:v>23</x:v>
      </x:c>
      <x:c r="G13" s="59" t="str">
        <x:v>Rolling 90-day daily-analytics window for medium-term portfolio trends.</x:v>
      </x:c>
      <x:c r="H13" s="59"/>
    </x:row>
    <x:row r="14" ht="15" customHeight="1">
      <x:c r="A14" s="57" t="str">
        <x:v>OLAP</x:v>
      </x:c>
      <x:c r="B14" s="59" t="str">
        <x:v>Reporting Daily Analytics</x:v>
      </x:c>
      <x:c r="C14" s="57" t="str">
        <x:v>Daily Analytics</x:v>
      </x:c>
      <x:c r="D14" s="59" t="str">
        <x:v>TRUE</x:v>
      </x:c>
      <x:c r="E14" s="57" t="str">
        <x:v>Read-only</x:v>
      </x:c>
      <x:c r="F14" s="57" t="n">
        <x:v>13</x:v>
      </x:c>
      <x:c r="G14" s="59" t="str">
        <x:v>Curated, read-only daily snapshot feed for governed downstream reporting.</x:v>
      </x:c>
      <x:c r="H14" s="59"/>
    </x:row>
    <x:row r="15" ht="15" customHeight="1">
      <x:c r="A15" s="57" t="str">
        <x:v>OLAP</x:v>
      </x:c>
      <x:c r="B15" s="59" t="str">
        <x:v>Reporting Loans</x:v>
      </x:c>
      <x:c r="C15" s="57" t="str">
        <x:v>Loans</x:v>
      </x:c>
      <x:c r="D15" s="59" t="str">
        <x:v>TRUE</x:v>
      </x:c>
      <x:c r="E15" s="57" t="str">
        <x:v>Read-only</x:v>
      </x:c>
      <x:c r="F15" s="57" t="n">
        <x:v>32</x:v>
      </x:c>
      <x:c r="G15" s="59" t="str">
        <x:v>Curated, read-only loan feed containing contract, balance, daily-installment amount/expected interest, rate, age, and default fields.</x:v>
      </x:c>
      <x:c r="H15" s="59"/>
    </x:row>
    <x:row r="16" ht="15" customHeight="1">
      <x:c r="A16" s="57" t="str">
        <x:v>OLAP</x:v>
      </x:c>
      <x:c r="B16" s="59" t="str">
        <x:v>Reporting Repayments</x:v>
      </x:c>
      <x:c r="C16" s="57" t="str">
        <x:v>Repayments</x:v>
      </x:c>
      <x:c r="D16" s="59" t="str">
        <x:v>TRUE</x:v>
      </x:c>
      <x:c r="E16" s="57" t="str">
        <x:v>Read-only</x:v>
      </x:c>
      <x:c r="F16" s="57" t="n">
        <x:v>8</x:v>
      </x:c>
      <x:c r="G16" s="59" t="str">
        <x:v>Curated, read-only posted-payment feed with loan and charge references.</x:v>
      </x:c>
      <x:c r="H16" s="59"/>
    </x:row>
    <x:row r="17" ht="15" customHeight="1">
      <x:c r="A17" s="57" t="str">
        <x:v>OLAP</x:v>
      </x:c>
      <x:c r="B17" s="59" t="str">
        <x:v>Reporting Statistics</x:v>
      </x:c>
      <x:c r="C17" s="57" t="str">
        <x:v>Statistics</x:v>
      </x:c>
      <x:c r="D17" s="59" t="str">
        <x:v>TRUE</x:v>
      </x:c>
      <x:c r="E17" s="57" t="str">
        <x:v>Read-only</x:v>
      </x:c>
      <x:c r="F17" s="57" t="n">
        <x:v>17</x:v>
      </x:c>
      <x:c r="G17" s="59" t="str">
        <x:v>Curated, read-only KPI feed for governed dashboard totals.</x:v>
      </x:c>
      <x:c r="H17" s="59"/>
    </x:row>
  </x:sheetData>
  <x:mergeCells>
    <x:mergeCell ref="A2:H2"/>
    <x:mergeCell ref="A1:H1"/>
  </x:mergeCells>
  <x:pageMargins left="0.7" right="0.7" top="0.75" bottom="0.75" header="0.3" footer="0.3"/>
  <x:tableParts count="1">
    <x:tablePart xmlns:r="http://schemas.openxmlformats.org/officeDocument/2006/relationships" r:id="Rcc187d66dc444590"/>
  </x:tableParts>
</x:worksheet>
</file>

<file path=xl/worksheets/sheet6.xml><?xml version="1.0" encoding="utf-8"?>
<x:worksheet xmlns:x="http://schemas.openxmlformats.org/spreadsheetml/2006/main">
  <x:sheetViews>
    <x:sheetView showGridLines="0" workbookViewId="0"/>
  </x:sheetViews>
  <x:sheetFormatPr baseColWidth="8" defaultRowHeight="15"/>
  <x:cols>
    <x:col min="1" max="1" width="10" customWidth="1"/>
    <x:col min="2" max="2" width="38" customWidth="1"/>
    <x:col min="3" max="3" width="15" customWidth="1"/>
    <x:col min="4" max="4" width="42" customWidth="1"/>
  </x:cols>
  <x:sheetData>
    <x:row r="1" ht="30" customHeight="1">
      <x:c r="A1" s="3" t="str">
        <x:v>Slice Columns</x:v>
      </x:c>
      <x:c r="B1"/>
      <x:c r="C1"/>
      <x:c r="D1"/>
    </x:row>
    <x:row r="2" ht="30" customHeight="1">
      <x:c r="A2" s="7" t="str">
        <x:v>One row per live included slice column, preserving slice order; Visible Borrowers membership re-verified on 2026-09-01.</x:v>
      </x:c>
      <x:c r="B2"/>
      <x:c r="C2"/>
      <x:c r="D2"/>
    </x:row>
    <x:row r="3">
      <x:c r="A3"/>
      <x:c r="B3"/>
      <x:c r="C3"/>
      <x:c r="D3"/>
    </x:row>
    <x:row r="4" ht="30" customHeight="1">
      <x:c r="A4" s="50" t="str">
        <x:v>App</x:v>
      </x:c>
      <x:c r="B4" s="51" t="str">
        <x:v>Slice</x:v>
      </x:c>
      <x:c r="C4" s="51" t="str">
        <x:v>Column Order</x:v>
      </x:c>
      <x:c r="D4" s="52" t="str">
        <x:v>Column</x:v>
      </x:c>
    </x:row>
    <x:row r="5" ht="15" customHeight="1">
      <x:c r="A5" s="56" t="str">
        <x:v>OLTP</x:v>
      </x:c>
      <x:c r="B5" s="58" t="str">
        <x:v>Todays Collection Board</x:v>
      </x:c>
      <x:c r="C5" s="56" t="n">
        <x:v>1</x:v>
      </x:c>
      <x:c r="D5" s="58" t="str">
        <x:v>_RowNumber</x:v>
      </x:c>
    </x:row>
    <x:row r="6" ht="15" customHeight="1">
      <x:c r="A6" s="57" t="str">
        <x:v>OLTP</x:v>
      </x:c>
      <x:c r="B6" s="59" t="str">
        <x:v>Todays Collection Board</x:v>
      </x:c>
      <x:c r="C6" s="57" t="n">
        <x:v>2</x:v>
      </x:c>
      <x:c r="D6" s="59" t="str">
        <x:v>Row ID</x:v>
      </x:c>
    </x:row>
    <x:row r="7" ht="15" customHeight="1">
      <x:c r="A7" s="57" t="str">
        <x:v>OLTP</x:v>
      </x:c>
      <x:c r="B7" s="59" t="str">
        <x:v>Todays Collection Board</x:v>
      </x:c>
      <x:c r="C7" s="57" t="n">
        <x:v>3</x:v>
      </x:c>
      <x:c r="D7" s="59" t="str">
        <x:v>Borrower Name</x:v>
      </x:c>
    </x:row>
    <x:row r="8" ht="15" customHeight="1">
      <x:c r="A8" s="57" t="str">
        <x:v>OLTP</x:v>
      </x:c>
      <x:c r="B8" s="59" t="str">
        <x:v>Todays Collection Board</x:v>
      </x:c>
      <x:c r="C8" s="57" t="n">
        <x:v>4</x:v>
      </x:c>
      <x:c r="D8" s="59" t="str">
        <x:v>Description</x:v>
      </x:c>
    </x:row>
    <x:row r="9" ht="15" customHeight="1">
      <x:c r="A9" s="57" t="str">
        <x:v>OLTP</x:v>
      </x:c>
      <x:c r="B9" s="59" t="str">
        <x:v>Todays Collection Board</x:v>
      </x:c>
      <x:c r="C9" s="57" t="n">
        <x:v>5</x:v>
      </x:c>
      <x:c r="D9" s="59" t="str">
        <x:v>Daily Collection Status - Order</x:v>
      </x:c>
    </x:row>
    <x:row r="10" ht="15" customHeight="1">
      <x:c r="A10" s="57" t="str">
        <x:v>OLTP</x:v>
      </x:c>
      <x:c r="B10" s="59" t="str">
        <x:v>Todays Collection Board</x:v>
      </x:c>
      <x:c r="C10" s="57" t="n">
        <x:v>6</x:v>
      </x:c>
      <x:c r="D10" s="59" t="str">
        <x:v>Todays Amount Due</x:v>
      </x:c>
    </x:row>
    <x:row r="11" ht="15" customHeight="1">
      <x:c r="A11" s="57" t="str">
        <x:v>OLTP</x:v>
      </x:c>
      <x:c r="B11" s="59" t="str">
        <x:v>Todays Collection Board</x:v>
      </x:c>
      <x:c r="C11" s="57" t="n">
        <x:v>7</x:v>
      </x:c>
      <x:c r="D11" s="59" t="str">
        <x:v>Todays Amount Collected</x:v>
      </x:c>
    </x:row>
    <x:row r="12" ht="15" customHeight="1">
      <x:c r="A12" s="57" t="str">
        <x:v>OLTP</x:v>
      </x:c>
      <x:c r="B12" s="59" t="str">
        <x:v>Todays Collection Board</x:v>
      </x:c>
      <x:c r="C12" s="57" t="n">
        <x:v>8</x:v>
      </x:c>
      <x:c r="D12" s="59" t="str">
        <x:v>Todays Amount Remaining</x:v>
      </x:c>
    </x:row>
    <x:row r="13" ht="15" customHeight="1">
      <x:c r="A13" s="57" t="str">
        <x:v>OLTP</x:v>
      </x:c>
      <x:c r="B13" s="59" t="str">
        <x:v>Todays Collection Board</x:v>
      </x:c>
      <x:c r="C13" s="57" t="n">
        <x:v>9</x:v>
      </x:c>
      <x:c r="D13" s="59" t="str">
        <x:v>Todays Collection Charges</x:v>
      </x:c>
    </x:row>
    <x:row r="14" ht="15" customHeight="1">
      <x:c r="A14" s="57" t="str">
        <x:v>OLTP</x:v>
      </x:c>
      <x:c r="B14" s="59" t="str">
        <x:v>Todays Collection Board</x:v>
      </x:c>
      <x:c r="C14" s="57" t="n">
        <x:v>10</x:v>
      </x:c>
      <x:c r="D14" s="59" t="str">
        <x:v>Borrower Name - Collection</x:v>
      </x:c>
    </x:row>
    <x:row r="15" ht="15" customHeight="1">
      <x:c r="A15" s="57" t="str">
        <x:v>OLTP</x:v>
      </x:c>
      <x:c r="B15" s="59" t="str">
        <x:v>Visible Borrowers</x:v>
      </x:c>
      <x:c r="C15" s="57" t="n">
        <x:v>1</x:v>
      </x:c>
      <x:c r="D15" s="59" t="str">
        <x:v>_RowNumber</x:v>
      </x:c>
    </x:row>
    <x:row r="16" ht="15" customHeight="1">
      <x:c r="A16" s="57" t="str">
        <x:v>OLTP</x:v>
      </x:c>
      <x:c r="B16" s="59" t="str">
        <x:v>Visible Borrowers</x:v>
      </x:c>
      <x:c r="C16" s="57" t="n">
        <x:v>2</x:v>
      </x:c>
      <x:c r="D16" s="59" t="str">
        <x:v>Row ID</x:v>
      </x:c>
    </x:row>
    <x:row r="17" ht="15" customHeight="1">
      <x:c r="A17" s="57" t="str">
        <x:v>OLTP</x:v>
      </x:c>
      <x:c r="B17" s="59" t="str">
        <x:v>Visible Borrowers</x:v>
      </x:c>
      <x:c r="C17" s="57" t="n">
        <x:v>3</x:v>
      </x:c>
      <x:c r="D17" s="59" t="str">
        <x:v>Borrower Name</x:v>
      </x:c>
    </x:row>
    <x:row r="18" ht="15" customHeight="1">
      <x:c r="A18" s="57" t="str">
        <x:v>OLTP</x:v>
      </x:c>
      <x:c r="B18" s="59" t="str">
        <x:v>Visible Borrowers</x:v>
      </x:c>
      <x:c r="C18" s="57" t="n">
        <x:v>4</x:v>
      </x:c>
      <x:c r="D18" s="59" t="str">
        <x:v>Telephone</x:v>
      </x:c>
    </x:row>
    <x:row r="19" ht="15" customHeight="1">
      <x:c r="A19" s="57" t="str">
        <x:v>OLTP</x:v>
      </x:c>
      <x:c r="B19" s="59" t="str">
        <x:v>Visible Borrowers</x:v>
      </x:c>
      <x:c r="C19" s="57" t="n">
        <x:v>5</x:v>
      </x:c>
      <x:c r="D19" s="59" t="str">
        <x:v>Description</x:v>
      </x:c>
    </x:row>
    <x:row r="20" ht="15" customHeight="1">
      <x:c r="A20" s="57" t="str">
        <x:v>OLTP</x:v>
      </x:c>
      <x:c r="B20" s="59" t="str">
        <x:v>Visible Borrowers</x:v>
      </x:c>
      <x:c r="C20" s="57" t="n">
        <x:v>6</x:v>
      </x:c>
      <x:c r="D20" s="59" t="str">
        <x:v>Creation Date</x:v>
      </x:c>
    </x:row>
    <x:row r="21" ht="15" customHeight="1">
      <x:c r="A21" s="57" t="str">
        <x:v>OLTP</x:v>
      </x:c>
      <x:c r="B21" s="59" t="str">
        <x:v>Visible Borrowers</x:v>
      </x:c>
      <x:c r="C21" s="57" t="n">
        <x:v>7</x:v>
      </x:c>
      <x:c r="D21" s="59" t="str">
        <x:v>Hidden Flag</x:v>
      </x:c>
    </x:row>
    <x:row r="22" ht="15" customHeight="1">
      <x:c r="A22" s="57" t="str">
        <x:v>OLTP</x:v>
      </x:c>
      <x:c r="B22" s="59" t="str">
        <x:v>Visible Borrowers</x:v>
      </x:c>
      <x:c r="C22" s="57" t="n">
        <x:v>8</x:v>
      </x:c>
      <x:c r="D22" s="59" t="str">
        <x:v>Related Loans</x:v>
      </x:c>
    </x:row>
    <x:row r="23" ht="15" customHeight="1">
      <x:c r="A23" s="57" t="str">
        <x:v>OLTP</x:v>
      </x:c>
      <x:c r="B23" s="59" t="str">
        <x:v>Visible Borrowers</x:v>
      </x:c>
      <x:c r="C23" s="57" t="n">
        <x:v>9</x:v>
      </x:c>
      <x:c r="D23" s="59" t="str">
        <x:v>Total Interest Earned</x:v>
      </x:c>
    </x:row>
    <x:row r="24" ht="15" customHeight="1">
      <x:c r="A24" s="57" t="str">
        <x:v>OLTP</x:v>
      </x:c>
      <x:c r="B24" s="59" t="str">
        <x:v>Visible Borrowers</x:v>
      </x:c>
      <x:c r="C24" s="57" t="n">
        <x:v>10</x:v>
      </x:c>
      <x:c r="D24" s="59" t="str">
        <x:v>Total Amount Loaned</x:v>
      </x:c>
    </x:row>
    <x:row r="25" ht="15" customHeight="1">
      <x:c r="A25" s="57" t="str">
        <x:v>OLTP</x:v>
      </x:c>
      <x:c r="B25" s="59" t="str">
        <x:v>Visible Borrowers</x:v>
      </x:c>
      <x:c r="C25" s="57" t="n">
        <x:v>11</x:v>
      </x:c>
      <x:c r="D25" s="59" t="str">
        <x:v>Total Number of Loans</x:v>
      </x:c>
    </x:row>
    <x:row r="26" ht="15" customHeight="1">
      <x:c r="A26" s="57" t="str">
        <x:v>OLTP</x:v>
      </x:c>
      <x:c r="B26" s="59" t="str">
        <x:v>Visible Borrowers</x:v>
      </x:c>
      <x:c r="C26" s="57" t="n">
        <x:v>12</x:v>
      </x:c>
      <x:c r="D26" s="59" t="str">
        <x:v>Total Outstanding Principal</x:v>
      </x:c>
    </x:row>
    <x:row r="27" ht="15" customHeight="1">
      <x:c r="A27" s="57" t="str">
        <x:v>OLTP</x:v>
      </x:c>
      <x:c r="B27" s="59" t="str">
        <x:v>Visible Borrowers</x:v>
      </x:c>
      <x:c r="C27" s="57" t="n">
        <x:v>13</x:v>
      </x:c>
      <x:c r="D27" s="59" t="str">
        <x:v>Header - Active Loans</x:v>
      </x:c>
    </x:row>
    <x:row r="28" ht="15" customHeight="1">
      <x:c r="A28" s="57" t="str">
        <x:v>OLTP</x:v>
      </x:c>
      <x:c r="B28" s="59" t="str">
        <x:v>Visible Borrowers</x:v>
      </x:c>
      <x:c r="C28" s="57" t="n">
        <x:v>14</x:v>
      </x:c>
      <x:c r="D28" s="59" t="str">
        <x:v>Borrower Name TE</x:v>
      </x:c>
    </x:row>
    <x:row r="29" ht="15" customHeight="1">
      <x:c r="A29" s="57" t="str">
        <x:v>OLTP</x:v>
      </x:c>
      <x:c r="B29" s="59" t="str">
        <x:v>Visible Borrowers</x:v>
      </x:c>
      <x:c r="C29" s="57" t="n">
        <x:v>15</x:v>
      </x:c>
      <x:c r="D29" s="59" t="str">
        <x:v>Return on Active Principal</x:v>
      </x:c>
    </x:row>
    <x:row r="30" ht="15" customHeight="1">
      <x:c r="A30" s="57" t="str">
        <x:v>OLTP</x:v>
      </x:c>
      <x:c r="B30" s="59" t="str">
        <x:v>Visible Borrowers</x:v>
      </x:c>
      <x:c r="C30" s="57" t="n">
        <x:v>16</x:v>
      </x:c>
      <x:c r="D30" s="59" t="str">
        <x:v>Active Loan Interest Earned</x:v>
      </x:c>
    </x:row>
    <x:row r="31" ht="15" customHeight="1">
      <x:c r="A31" s="57" t="str">
        <x:v>OLTP</x:v>
      </x:c>
      <x:c r="B31" s="59" t="str">
        <x:v>Visible Borrowers</x:v>
      </x:c>
      <x:c r="C31" s="57" t="n">
        <x:v>17</x:v>
      </x:c>
      <x:c r="D31" s="59" t="str">
        <x:v>Active Daily Interest</x:v>
      </x:c>
    </x:row>
    <x:row r="32" ht="15" customHeight="1">
      <x:c r="A32" s="57" t="str">
        <x:v>OLTP</x:v>
      </x:c>
      <x:c r="B32" s="59" t="str">
        <x:v>Visible Borrowers</x:v>
      </x:c>
      <x:c r="C32" s="57" t="n">
        <x:v>18</x:v>
      </x:c>
      <x:c r="D32" s="59" t="str">
        <x:v>Projected Interest Coverage Date</x:v>
      </x:c>
    </x:row>
    <x:row r="33" ht="15" customHeight="1">
      <x:c r="A33" s="57" t="str">
        <x:v>OLTP</x:v>
      </x:c>
      <x:c r="B33" s="59" t="str">
        <x:v>Visible Borrowers</x:v>
      </x:c>
      <x:c r="C33" s="57" t="n">
        <x:v>19</x:v>
      </x:c>
      <x:c r="D33" s="59" t="str">
        <x:v>Closed Loan Interest Earned</x:v>
      </x:c>
    </x:row>
    <x:row r="34" ht="15" customHeight="1">
      <x:c r="A34" s="57" t="str">
        <x:v>OLTP</x:v>
      </x:c>
      <x:c r="B34" s="59" t="str">
        <x:v>Visible Borrowers</x:v>
      </x:c>
      <x:c r="C34" s="57" t="n">
        <x:v>20</x:v>
      </x:c>
      <x:c r="D34" s="59" t="str">
        <x:v>Closed Loan Principle</x:v>
      </x:c>
    </x:row>
    <x:row r="35" ht="15" customHeight="1">
      <x:c r="A35" s="57" t="str">
        <x:v>OLTP</x:v>
      </x:c>
      <x:c r="B35" s="59" t="str">
        <x:v>Visible Borrowers</x:v>
      </x:c>
      <x:c r="C35" s="57" t="n">
        <x:v>21</x:v>
      </x:c>
      <x:c r="D35" s="59" t="str">
        <x:v>Has Closed Loan</x:v>
      </x:c>
    </x:row>
    <x:row r="36" ht="15" customHeight="1">
      <x:c r="A36" s="57" t="str">
        <x:v>OLTP</x:v>
      </x:c>
      <x:c r="B36" s="59" t="str">
        <x:v>Visible Borrowers</x:v>
      </x:c>
      <x:c r="C36" s="57" t="n">
        <x:v>22</x:v>
      </x:c>
      <x:c r="D36" s="59" t="str">
        <x:v>Return on Closed Loans</x:v>
      </x:c>
    </x:row>
    <x:row r="37" ht="15" customHeight="1">
      <x:c r="A37" s="57" t="str">
        <x:v>OLTP</x:v>
      </x:c>
      <x:c r="B37" s="59" t="str">
        <x:v>Visible Borrowers</x:v>
      </x:c>
      <x:c r="C37" s="57" t="n">
        <x:v>23</x:v>
      </x:c>
      <x:c r="D37" s="59" t="str">
        <x:v>Header - Closed Loans</x:v>
      </x:c>
    </x:row>
    <x:row r="38" ht="15" customHeight="1">
      <x:c r="A38" s="57" t="str">
        <x:v>OLTP</x:v>
      </x:c>
      <x:c r="B38" s="59" t="str">
        <x:v>Visible Borrowers</x:v>
      </x:c>
      <x:c r="C38" s="57" t="n">
        <x:v>24</x:v>
      </x:c>
      <x:c r="D38" s="59" t="str">
        <x:v>Has Active Loan</x:v>
      </x:c>
    </x:row>
    <x:row r="39" ht="15" customHeight="1">
      <x:c r="A39" s="57" t="str">
        <x:v>OLTP</x:v>
      </x:c>
      <x:c r="B39" s="59" t="str">
        <x:v>Visible Borrowers</x:v>
      </x:c>
      <x:c r="C39" s="57" t="n">
        <x:v>25</x:v>
      </x:c>
      <x:c r="D39" s="59" t="str">
        <x:v>Daily Collection Status</x:v>
      </x:c>
    </x:row>
    <x:row r="40" ht="15" customHeight="1">
      <x:c r="A40" s="57" t="str">
        <x:v>OLTP</x:v>
      </x:c>
      <x:c r="B40" s="59" t="str">
        <x:v>Visible Borrowers</x:v>
      </x:c>
      <x:c r="C40" s="57" t="n">
        <x:v>26</x:v>
      </x:c>
      <x:c r="D40" s="59" t="str">
        <x:v>Todays Collection Charges</x:v>
      </x:c>
    </x:row>
    <x:row r="41" ht="15" customHeight="1">
      <x:c r="A41" s="57" t="str">
        <x:v>OLTP</x:v>
      </x:c>
      <x:c r="B41" s="59" t="str">
        <x:v>Visible Borrowers</x:v>
      </x:c>
      <x:c r="C41" s="57" t="n">
        <x:v>27</x:v>
      </x:c>
      <x:c r="D41" s="59" t="str">
        <x:v>Todays Amount Due</x:v>
      </x:c>
    </x:row>
    <x:row r="42" ht="15" customHeight="1">
      <x:c r="A42" s="57" t="str">
        <x:v>OLTP</x:v>
      </x:c>
      <x:c r="B42" s="59" t="str">
        <x:v>Visible Borrowers</x:v>
      </x:c>
      <x:c r="C42" s="57" t="n">
        <x:v>28</x:v>
      </x:c>
      <x:c r="D42" s="59" t="str">
        <x:v>Todays Amount Collected</x:v>
      </x:c>
    </x:row>
    <x:row r="43" ht="15" customHeight="1">
      <x:c r="A43" s="57" t="str">
        <x:v>OLTP</x:v>
      </x:c>
      <x:c r="B43" s="59" t="str">
        <x:v>Visible Borrowers</x:v>
      </x:c>
      <x:c r="C43" s="57" t="n">
        <x:v>29</x:v>
      </x:c>
      <x:c r="D43" s="59" t="str">
        <x:v>Todays Amount Remaining</x:v>
      </x:c>
    </x:row>
    <x:row r="44" ht="15" customHeight="1">
      <x:c r="A44" s="57" t="str">
        <x:v>OLTP</x:v>
      </x:c>
      <x:c r="B44" s="59" t="str">
        <x:v>Visible Borrowers</x:v>
      </x:c>
      <x:c r="C44" s="57" t="n">
        <x:v>30</x:v>
      </x:c>
      <x:c r="D44" s="59" t="str">
        <x:v>Daily Collection Status - Order</x:v>
      </x:c>
    </x:row>
    <x:row r="45" ht="15" customHeight="1">
      <x:c r="A45" s="57" t="str">
        <x:v>OLTP</x:v>
      </x:c>
      <x:c r="B45" s="59" t="str">
        <x:v>Visible Borrowers</x:v>
      </x:c>
      <x:c r="C45" s="57" t="n">
        <x:v>31</x:v>
      </x:c>
      <x:c r="D45" s="59" t="str">
        <x:v>Borrower Name - Collection</x:v>
      </x:c>
    </x:row>
    <x:row r="46" ht="15" customHeight="1">
      <x:c r="A46" s="57" t="str">
        <x:v>OLTP</x:v>
      </x:c>
      <x:c r="B46" s="59" t="str">
        <x:v>Visible Borrowers</x:v>
      </x:c>
      <x:c r="C46" s="57" t="n">
        <x:v>32</x:v>
      </x:c>
      <x:c r="D46" s="59" t="str">
        <x:v>Active Profit After Principal Coverage</x:v>
      </x:c>
    </x:row>
    <x:row r="47" ht="15" customHeight="1">
      <x:c r="A47" s="57" t="str">
        <x:v>OLAP</x:v>
      </x:c>
      <x:c r="B47" s="59" t="str">
        <x:v>Borrowers with Outstanding Loans</x:v>
      </x:c>
      <x:c r="C47" s="57" t="n">
        <x:v>1</x:v>
      </x:c>
      <x:c r="D47" s="59" t="str">
        <x:v>_RowNumber</x:v>
      </x:c>
    </x:row>
    <x:row r="48" ht="15" customHeight="1">
      <x:c r="A48" s="57" t="str">
        <x:v>OLAP</x:v>
      </x:c>
      <x:c r="B48" s="59" t="str">
        <x:v>Borrowers with Outstanding Loans</x:v>
      </x:c>
      <x:c r="C48" s="57" t="n">
        <x:v>2</x:v>
      </x:c>
      <x:c r="D48" s="59" t="str">
        <x:v>Row ID</x:v>
      </x:c>
    </x:row>
    <x:row r="49" ht="15" customHeight="1">
      <x:c r="A49" s="57" t="str">
        <x:v>OLAP</x:v>
      </x:c>
      <x:c r="B49" s="59" t="str">
        <x:v>Borrowers with Outstanding Loans</x:v>
      </x:c>
      <x:c r="C49" s="57" t="n">
        <x:v>3</x:v>
      </x:c>
      <x:c r="D49" s="59" t="str">
        <x:v>Borrower Name</x:v>
      </x:c>
    </x:row>
    <x:row r="50" ht="15" customHeight="1">
      <x:c r="A50" s="57" t="str">
        <x:v>OLAP</x:v>
      </x:c>
      <x:c r="B50" s="59" t="str">
        <x:v>Borrowers with Outstanding Loans</x:v>
      </x:c>
      <x:c r="C50" s="57" t="n">
        <x:v>4</x:v>
      </x:c>
      <x:c r="D50" s="59" t="str">
        <x:v>Telephone</x:v>
      </x:c>
    </x:row>
    <x:row r="51" ht="15" customHeight="1">
      <x:c r="A51" s="57" t="str">
        <x:v>OLAP</x:v>
      </x:c>
      <x:c r="B51" s="59" t="str">
        <x:v>Borrowers with Outstanding Loans</x:v>
      </x:c>
      <x:c r="C51" s="57" t="n">
        <x:v>5</x:v>
      </x:c>
      <x:c r="D51" s="59" t="str">
        <x:v>Description</x:v>
      </x:c>
    </x:row>
    <x:row r="52" ht="15" customHeight="1">
      <x:c r="A52" s="57" t="str">
        <x:v>OLAP</x:v>
      </x:c>
      <x:c r="B52" s="59" t="str">
        <x:v>Borrowers with Outstanding Loans</x:v>
      </x:c>
      <x:c r="C52" s="57" t="n">
        <x:v>6</x:v>
      </x:c>
      <x:c r="D52" s="59" t="str">
        <x:v>Creation Date</x:v>
      </x:c>
    </x:row>
    <x:row r="53" ht="15" customHeight="1">
      <x:c r="A53" s="57" t="str">
        <x:v>OLAP</x:v>
      </x:c>
      <x:c r="B53" s="59" t="str">
        <x:v>Borrowers with Outstanding Loans</x:v>
      </x:c>
      <x:c r="C53" s="57" t="n">
        <x:v>7</x:v>
      </x:c>
      <x:c r="D53" s="59" t="str">
        <x:v>Related Loans</x:v>
      </x:c>
    </x:row>
    <x:row r="54" ht="15" customHeight="1">
      <x:c r="A54" s="57" t="str">
        <x:v>OLAP</x:v>
      </x:c>
      <x:c r="B54" s="59" t="str">
        <x:v>Borrowers with Outstanding Loans</x:v>
      </x:c>
      <x:c r="C54" s="57" t="n">
        <x:v>8</x:v>
      </x:c>
      <x:c r="D54" s="59" t="str">
        <x:v>Total Interest Earned</x:v>
      </x:c>
    </x:row>
    <x:row r="55" ht="15" customHeight="1">
      <x:c r="A55" s="57" t="str">
        <x:v>OLAP</x:v>
      </x:c>
      <x:c r="B55" s="59" t="str">
        <x:v>Borrowers with Outstanding Loans</x:v>
      </x:c>
      <x:c r="C55" s="57" t="n">
        <x:v>9</x:v>
      </x:c>
      <x:c r="D55" s="59" t="str">
        <x:v>Total Amount Loaned</x:v>
      </x:c>
    </x:row>
    <x:row r="56" ht="15" customHeight="1">
      <x:c r="A56" s="57" t="str">
        <x:v>OLAP</x:v>
      </x:c>
      <x:c r="B56" s="59" t="str">
        <x:v>Borrowers with Outstanding Loans</x:v>
      </x:c>
      <x:c r="C56" s="57" t="n">
        <x:v>10</x:v>
      </x:c>
      <x:c r="D56" s="59" t="str">
        <x:v>Total Number of Loans</x:v>
      </x:c>
    </x:row>
    <x:row r="57" ht="15" customHeight="1">
      <x:c r="A57" s="57" t="str">
        <x:v>OLAP</x:v>
      </x:c>
      <x:c r="B57" s="59" t="str">
        <x:v>Borrowers with Outstanding Loans</x:v>
      </x:c>
      <x:c r="C57" s="57" t="n">
        <x:v>11</x:v>
      </x:c>
      <x:c r="D57" s="59" t="str">
        <x:v>Total Outstanding Principal</x:v>
      </x:c>
    </x:row>
    <x:row r="58" ht="15" customHeight="1">
      <x:c r="A58" s="57" t="str">
        <x:v>OLAP</x:v>
      </x:c>
      <x:c r="B58" s="59" t="str">
        <x:v>Borrowers with Outstanding Loans</x:v>
      </x:c>
      <x:c r="C58" s="57" t="n">
        <x:v>12</x:v>
      </x:c>
      <x:c r="D58" s="59" t="str">
        <x:v>Header - Active Loans</x:v>
      </x:c>
    </x:row>
    <x:row r="59" ht="15" customHeight="1">
      <x:c r="A59" s="57" t="str">
        <x:v>OLAP</x:v>
      </x:c>
      <x:c r="B59" s="59" t="str">
        <x:v>Borrowers with Outstanding Loans</x:v>
      </x:c>
      <x:c r="C59" s="57" t="n">
        <x:v>13</x:v>
      </x:c>
      <x:c r="D59" s="59" t="str">
        <x:v>Borrower Name TE</x:v>
      </x:c>
    </x:row>
    <x:row r="60" ht="15" customHeight="1">
      <x:c r="A60" s="57" t="str">
        <x:v>OLAP</x:v>
      </x:c>
      <x:c r="B60" s="59" t="str">
        <x:v>Borrowers with Outstanding Loans</x:v>
      </x:c>
      <x:c r="C60" s="57" t="n">
        <x:v>14</x:v>
      </x:c>
      <x:c r="D60" s="59" t="str">
        <x:v>Return on Active Principal</x:v>
      </x:c>
    </x:row>
    <x:row r="61" ht="15" customHeight="1">
      <x:c r="A61" s="57" t="str">
        <x:v>OLAP</x:v>
      </x:c>
      <x:c r="B61" s="59" t="str">
        <x:v>Borrowers with Outstanding Loans</x:v>
      </x:c>
      <x:c r="C61" s="57" t="n">
        <x:v>15</x:v>
      </x:c>
      <x:c r="D61" s="59" t="str">
        <x:v>Profit Last 30 Days</x:v>
      </x:c>
    </x:row>
    <x:row r="62" ht="15" customHeight="1">
      <x:c r="A62" s="57" t="str">
        <x:v>OLAP</x:v>
      </x:c>
      <x:c r="B62" s="59" t="str">
        <x:v>Borrowers with Outstanding Loans</x:v>
      </x:c>
      <x:c r="C62" s="57" t="n">
        <x:v>16</x:v>
      </x:c>
      <x:c r="D62" s="59" t="str">
        <x:v>Projected Interest Coverage Date</x:v>
      </x:c>
    </x:row>
    <x:row r="63" ht="15" customHeight="1">
      <x:c r="A63" s="57" t="str">
        <x:v>OLAP</x:v>
      </x:c>
      <x:c r="B63" s="59" t="str">
        <x:v>Borrowers with Outstanding Loans</x:v>
      </x:c>
      <x:c r="C63" s="57" t="n">
        <x:v>17</x:v>
      </x:c>
      <x:c r="D63" s="59" t="str">
        <x:v>Active Loan Interest Earned</x:v>
      </x:c>
    </x:row>
    <x:row r="64" ht="15" customHeight="1">
      <x:c r="A64" s="57" t="str">
        <x:v>OLAP</x:v>
      </x:c>
      <x:c r="B64" s="59" t="str">
        <x:v>Borrowers with Outstanding Loans</x:v>
      </x:c>
      <x:c r="C64" s="57" t="n">
        <x:v>18</x:v>
      </x:c>
      <x:c r="D64" s="59" t="str">
        <x:v>Active Daily Interest</x:v>
      </x:c>
    </x:row>
    <x:row r="65" ht="15" customHeight="1">
      <x:c r="A65" s="57" t="str">
        <x:v>OLAP</x:v>
      </x:c>
      <x:c r="B65" s="59" t="str">
        <x:v>Borrowers with Outstanding Loans</x:v>
      </x:c>
      <x:c r="C65" s="57" t="n">
        <x:v>19</x:v>
      </x:c>
      <x:c r="D65" s="59" t="str">
        <x:v>Related Loan Assessments</x:v>
      </x:c>
    </x:row>
    <x:row r="66" ht="15" customHeight="1">
      <x:c r="A66" s="57" t="str">
        <x:v>OLAP</x:v>
      </x:c>
      <x:c r="B66" s="59" t="str">
        <x:v>Borrowers with Outstanding Loans</x:v>
      </x:c>
      <x:c r="C66" s="57" t="n">
        <x:v>20</x:v>
      </x:c>
      <x:c r="D66" s="59" t="str">
        <x:v>Related Calendars</x:v>
      </x:c>
    </x:row>
    <x:row r="67" ht="15" customHeight="1">
      <x:c r="A67" s="57" t="str">
        <x:v>OLAP</x:v>
      </x:c>
      <x:c r="B67" s="59" t="str">
        <x:v>Borrowers with Outstanding Loans</x:v>
      </x:c>
      <x:c r="C67" s="57" t="n">
        <x:v>21</x:v>
      </x:c>
      <x:c r="D67" s="59" t="str">
        <x:v>Closed Loan Interest Earned</x:v>
      </x:c>
    </x:row>
    <x:row r="68" ht="15" customHeight="1">
      <x:c r="A68" s="57" t="str">
        <x:v>OLAP</x:v>
      </x:c>
      <x:c r="B68" s="59" t="str">
        <x:v>Borrowers with Outstanding Loans</x:v>
      </x:c>
      <x:c r="C68" s="57" t="n">
        <x:v>22</x:v>
      </x:c>
      <x:c r="D68" s="59" t="str">
        <x:v>Closed Loan Principle</x:v>
      </x:c>
    </x:row>
    <x:row r="69" ht="15" customHeight="1">
      <x:c r="A69" s="57" t="str">
        <x:v>OLAP</x:v>
      </x:c>
      <x:c r="B69" s="59" t="str">
        <x:v>Borrowers with Outstanding Loans</x:v>
      </x:c>
      <x:c r="C69" s="57" t="n">
        <x:v>23</x:v>
      </x:c>
      <x:c r="D69" s="59" t="str">
        <x:v>Has Closed Loan</x:v>
      </x:c>
    </x:row>
    <x:row r="70" ht="15" customHeight="1">
      <x:c r="A70" s="57" t="str">
        <x:v>OLAP</x:v>
      </x:c>
      <x:c r="B70" s="59" t="str">
        <x:v>Borrowers with Outstanding Loans</x:v>
      </x:c>
      <x:c r="C70" s="57" t="n">
        <x:v>24</x:v>
      </x:c>
      <x:c r="D70" s="59" t="str">
        <x:v>Return on Closed Loans</x:v>
      </x:c>
    </x:row>
    <x:row r="71" ht="15" customHeight="1">
      <x:c r="A71" s="57" t="str">
        <x:v>OLAP</x:v>
      </x:c>
      <x:c r="B71" s="59" t="str">
        <x:v>Borrowers with Outstanding Loans</x:v>
      </x:c>
      <x:c r="C71" s="57" t="n">
        <x:v>25</x:v>
      </x:c>
      <x:c r="D71" s="59" t="str">
        <x:v>Header - Closed Loans</x:v>
      </x:c>
    </x:row>
    <x:row r="72" ht="15" customHeight="1">
      <x:c r="A72" s="57" t="str">
        <x:v>OLAP</x:v>
      </x:c>
      <x:c r="B72" s="59" t="str">
        <x:v>Borrowers with Outstanding Loans</x:v>
      </x:c>
      <x:c r="C72" s="57" t="n">
        <x:v>26</x:v>
      </x:c>
      <x:c r="D72" s="59" t="str">
        <x:v>Has Active Loan</x:v>
      </x:c>
    </x:row>
    <x:row r="73" ht="15" customHeight="1">
      <x:c r="A73" s="57" t="str">
        <x:v>OLAP</x:v>
      </x:c>
      <x:c r="B73" s="59" t="str">
        <x:v>Borrowers with Outstanding Loans</x:v>
      </x:c>
      <x:c r="C73" s="57" t="n">
        <x:v>27</x:v>
      </x:c>
      <x:c r="D73" s="59" t="str">
        <x:v>30D Gross Principal Days</x:v>
      </x:c>
    </x:row>
    <x:row r="74" ht="15" customHeight="1">
      <x:c r="A74" s="57" t="str">
        <x:v>OLAP</x:v>
      </x:c>
      <x:c r="B74" s="59" t="str">
        <x:v>Borrowers with Outstanding Loans</x:v>
      </x:c>
      <x:c r="C74" s="57" t="n">
        <x:v>28</x:v>
      </x:c>
      <x:c r="D74" s="59" t="str">
        <x:v>30D Principal Reduction Days</x:v>
      </x:c>
    </x:row>
    <x:row r="75" ht="15" customHeight="1">
      <x:c r="A75" s="57" t="str">
        <x:v>OLAP</x:v>
      </x:c>
      <x:c r="B75" s="59" t="str">
        <x:v>Borrowers with Outstanding Loans</x:v>
      </x:c>
      <x:c r="C75" s="57" t="n">
        <x:v>29</x:v>
      </x:c>
      <x:c r="D75" s="59" t="str">
        <x:v>30D Average Outstanding Principal</x:v>
      </x:c>
    </x:row>
    <x:row r="76" ht="15" customHeight="1">
      <x:c r="A76" s="57" t="str">
        <x:v>OLAP</x:v>
      </x:c>
      <x:c r="B76" s="59" t="str">
        <x:v>Borrowers with Outstanding Loans</x:v>
      </x:c>
      <x:c r="C76" s="57" t="n">
        <x:v>30</x:v>
      </x:c>
      <x:c r="D76" s="59" t="str">
        <x:v>30D Return on Average Principal</x:v>
      </x:c>
    </x:row>
    <x:row r="77" ht="15" customHeight="1">
      <x:c r="A77" s="57" t="str">
        <x:v>OLAP</x:v>
      </x:c>
      <x:c r="B77" s="59" t="str">
        <x:v>Borrowers with Outstanding Loans</x:v>
      </x:c>
      <x:c r="C77" s="57" t="n">
        <x:v>31</x:v>
      </x:c>
      <x:c r="D77" s="59" t="str">
        <x:v>Daily Collection Status</x:v>
      </x:c>
    </x:row>
    <x:row r="78" ht="15" customHeight="1">
      <x:c r="A78" s="57" t="str">
        <x:v>OLAP</x:v>
      </x:c>
      <x:c r="B78" s="59" t="str">
        <x:v>Borrowers with Outstanding Loans</x:v>
      </x:c>
      <x:c r="C78" s="57" t="n">
        <x:v>32</x:v>
      </x:c>
      <x:c r="D78" s="59" t="str">
        <x:v>Todays Collection Charges</x:v>
      </x:c>
    </x:row>
    <x:row r="79" ht="15" customHeight="1">
      <x:c r="A79" s="57" t="str">
        <x:v>OLAP</x:v>
      </x:c>
      <x:c r="B79" s="59" t="str">
        <x:v>Borrowers with Outstanding Loans</x:v>
      </x:c>
      <x:c r="C79" s="57" t="n">
        <x:v>33</x:v>
      </x:c>
      <x:c r="D79" s="59" t="str">
        <x:v>Todays Amount Due</x:v>
      </x:c>
    </x:row>
    <x:row r="80" ht="15" customHeight="1">
      <x:c r="A80" s="57" t="str">
        <x:v>OLAP</x:v>
      </x:c>
      <x:c r="B80" s="59" t="str">
        <x:v>Borrowers with Outstanding Loans</x:v>
      </x:c>
      <x:c r="C80" s="57" t="n">
        <x:v>34</x:v>
      </x:c>
      <x:c r="D80" s="59" t="str">
        <x:v>Todays Amount Collected</x:v>
      </x:c>
    </x:row>
    <x:row r="81" ht="15" customHeight="1">
      <x:c r="A81" s="57" t="str">
        <x:v>OLAP</x:v>
      </x:c>
      <x:c r="B81" s="59" t="str">
        <x:v>Borrowers with Outstanding Loans</x:v>
      </x:c>
      <x:c r="C81" s="57" t="n">
        <x:v>35</x:v>
      </x:c>
      <x:c r="D81" s="59" t="str">
        <x:v>Todays Amount Remaining</x:v>
      </x:c>
    </x:row>
    <x:row r="82" ht="15" customHeight="1">
      <x:c r="A82" s="57" t="str">
        <x:v>OLAP</x:v>
      </x:c>
      <x:c r="B82" s="59" t="str">
        <x:v>Borrowers with Outstanding Loans</x:v>
      </x:c>
      <x:c r="C82" s="57" t="n">
        <x:v>36</x:v>
      </x:c>
      <x:c r="D82" s="59" t="str">
        <x:v>Portfolio Exposure %</x:v>
      </x:c>
    </x:row>
    <x:row r="83" ht="15" customHeight="1">
      <x:c r="A83" s="57" t="str">
        <x:v>OLAP</x:v>
      </x:c>
      <x:c r="B83" s="59" t="str">
        <x:v>Borrowers with Outstanding Loans</x:v>
      </x:c>
      <x:c r="C83" s="57" t="n">
        <x:v>37</x:v>
      </x:c>
      <x:c r="D83" s="59" t="str">
        <x:v>Active Loan Count</x:v>
      </x:c>
    </x:row>
    <x:row r="84" ht="15" customHeight="1">
      <x:c r="A84" s="57" t="str">
        <x:v>OLAP</x:v>
      </x:c>
      <x:c r="B84" s="59" t="str">
        <x:v>Borrowers with Outstanding Loans</x:v>
      </x:c>
      <x:c r="C84" s="57" t="n">
        <x:v>38</x:v>
      </x:c>
      <x:c r="D84" s="59" t="str">
        <x:v>Oldest Active Loan Age</x:v>
      </x:c>
    </x:row>
    <x:row r="85" ht="15" customHeight="1">
      <x:c r="A85" s="57" t="str">
        <x:v>OLAP</x:v>
      </x:c>
      <x:c r="B85" s="59" t="str">
        <x:v>Borrowers with Outstanding Loans</x:v>
      </x:c>
      <x:c r="C85" s="57" t="n">
        <x:v>39</x:v>
      </x:c>
      <x:c r="D85" s="59" t="str">
        <x:v>Overdue Amount</x:v>
      </x:c>
    </x:row>
    <x:row r="86" ht="15" customHeight="1">
      <x:c r="A86" s="57" t="str">
        <x:v>OLAP</x:v>
      </x:c>
      <x:c r="B86" s="59" t="str">
        <x:v>Borrowers with Outstanding Loans</x:v>
      </x:c>
      <x:c r="C86" s="57" t="n">
        <x:v>40</x:v>
      </x:c>
      <x:c r="D86" s="59" t="str">
        <x:v>Overdue Charge Count</x:v>
      </x:c>
    </x:row>
    <x:row r="87" ht="15" customHeight="1">
      <x:c r="A87" s="57" t="str">
        <x:v>OLAP</x:v>
      </x:c>
      <x:c r="B87" s="59" t="str">
        <x:v>Borrowers with Outstanding Loans</x:v>
      </x:c>
      <x:c r="C87" s="57" t="n">
        <x:v>41</x:v>
      </x:c>
      <x:c r="D87" s="59" t="str">
        <x:v>Historical Charge Count</x:v>
      </x:c>
    </x:row>
    <x:row r="88" ht="15" customHeight="1">
      <x:c r="A88" s="57" t="str">
        <x:v>OLAP</x:v>
      </x:c>
      <x:c r="B88" s="59" t="str">
        <x:v>Borrowers with Outstanding Loans</x:v>
      </x:c>
      <x:c r="C88" s="57" t="n">
        <x:v>42</x:v>
      </x:c>
      <x:c r="D88" s="59" t="str">
        <x:v>On Time Charge Count</x:v>
      </x:c>
    </x:row>
    <x:row r="89" ht="15" customHeight="1">
      <x:c r="A89" s="57" t="str">
        <x:v>OLAP</x:v>
      </x:c>
      <x:c r="B89" s="59" t="str">
        <x:v>Borrowers with Outstanding Loans</x:v>
      </x:c>
      <x:c r="C89" s="57" t="n">
        <x:v>43</x:v>
      </x:c>
      <x:c r="D89" s="59" t="str">
        <x:v>Lifetime On Time Rate</x:v>
      </x:c>
    </x:row>
    <x:row r="90" ht="15" customHeight="1">
      <x:c r="A90" s="57" t="str">
        <x:v>OLAP</x:v>
      </x:c>
      <x:c r="B90" s="59" t="str">
        <x:v>Borrowers with Outstanding Loans</x:v>
      </x:c>
      <x:c r="C90" s="57" t="n">
        <x:v>44</x:v>
      </x:c>
      <x:c r="D90" s="59" t="str">
        <x:v>Recent 30D Charge Count</x:v>
      </x:c>
    </x:row>
    <x:row r="91" ht="15" customHeight="1">
      <x:c r="A91" s="57" t="str">
        <x:v>OLAP</x:v>
      </x:c>
      <x:c r="B91" s="59" t="str">
        <x:v>Borrowers with Outstanding Loans</x:v>
      </x:c>
      <x:c r="C91" s="57" t="n">
        <x:v>45</x:v>
      </x:c>
      <x:c r="D91" s="59" t="str">
        <x:v>Recent 30D On Time Count</x:v>
      </x:c>
    </x:row>
    <x:row r="92" ht="15" customHeight="1">
      <x:c r="A92" s="57" t="str">
        <x:v>OLAP</x:v>
      </x:c>
      <x:c r="B92" s="59" t="str">
        <x:v>Borrowers with Outstanding Loans</x:v>
      </x:c>
      <x:c r="C92" s="57" t="n">
        <x:v>46</x:v>
      </x:c>
      <x:c r="D92" s="59" t="str">
        <x:v>Recent 30D On Time Rate</x:v>
      </x:c>
    </x:row>
    <x:row r="93" ht="15" customHeight="1">
      <x:c r="A93" s="57" t="str">
        <x:v>OLAP</x:v>
      </x:c>
      <x:c r="B93" s="59" t="str">
        <x:v>Borrowers with Outstanding Loans</x:v>
      </x:c>
      <x:c r="C93" s="57" t="n">
        <x:v>47</x:v>
      </x:c>
      <x:c r="D93" s="59" t="str">
        <x:v>Lifetime Late Payment Count</x:v>
      </x:c>
    </x:row>
    <x:row r="94" ht="15" customHeight="1">
      <x:c r="A94" s="57" t="str">
        <x:v>OLAP</x:v>
      </x:c>
      <x:c r="B94" s="59" t="str">
        <x:v>Borrowers with Outstanding Loans</x:v>
      </x:c>
      <x:c r="C94" s="57" t="n">
        <x:v>48</x:v>
      </x:c>
      <x:c r="D94" s="59" t="str">
        <x:v>Recent 30D Late Payment Count</x:v>
      </x:c>
    </x:row>
    <x:row r="95" ht="15" customHeight="1">
      <x:c r="A95" s="57" t="str">
        <x:v>OLAP</x:v>
      </x:c>
      <x:c r="B95" s="59" t="str">
        <x:v>Borrowers with Outstanding Loans</x:v>
      </x:c>
      <x:c r="C95" s="57" t="n">
        <x:v>49</x:v>
      </x:c>
      <x:c r="D95" s="59" t="str">
        <x:v>Maximum Days Late</x:v>
      </x:c>
    </x:row>
    <x:row r="96" ht="15" customHeight="1">
      <x:c r="A96" s="57" t="str">
        <x:v>OLAP</x:v>
      </x:c>
      <x:c r="B96" s="59" t="str">
        <x:v>Borrowers with Outstanding Loans</x:v>
      </x:c>
      <x:c r="C96" s="57" t="n">
        <x:v>50</x:v>
      </x:c>
      <x:c r="D96" s="59" t="str">
        <x:v>Last Late Payment Date</x:v>
      </x:c>
    </x:row>
    <x:row r="97" ht="15" customHeight="1">
      <x:c r="A97" s="57" t="str">
        <x:v>OLAP</x:v>
      </x:c>
      <x:c r="B97" s="59" t="str">
        <x:v>Borrowers with Outstanding Loans</x:v>
      </x:c>
      <x:c r="C97" s="57" t="n">
        <x:v>51</x:v>
      </x:c>
      <x:c r="D97" s="59" t="str">
        <x:v>Largest Successful Loan</x:v>
      </x:c>
    </x:row>
    <x:row r="98" ht="15" customHeight="1">
      <x:c r="A98" s="57" t="str">
        <x:v>OLAP</x:v>
      </x:c>
      <x:c r="B98" s="59" t="str">
        <x:v>Borrowers with Outstanding Loans</x:v>
      </x:c>
      <x:c r="C98" s="57" t="n">
        <x:v>52</x:v>
      </x:c>
      <x:c r="D98" s="59" t="str">
        <x:v>Average Successful Loan Size</x:v>
      </x:c>
    </x:row>
    <x:row r="99" ht="15" customHeight="1">
      <x:c r="A99" s="57" t="str">
        <x:v>OLAP</x:v>
      </x:c>
      <x:c r="B99" s="59" t="str">
        <x:v>Borrowers with Outstanding Loans</x:v>
      </x:c>
      <x:c r="C99" s="57" t="n">
        <x:v>53</x:v>
      </x:c>
      <x:c r="D99" s="59" t="str">
        <x:v>Default Count</x:v>
      </x:c>
    </x:row>
    <x:row r="100" ht="15" customHeight="1">
      <x:c r="A100" s="57" t="str">
        <x:v>OLAP</x:v>
      </x:c>
      <x:c r="B100" s="59" t="str">
        <x:v>Borrowers with Outstanding Loans</x:v>
      </x:c>
      <x:c r="C100" s="57" t="n">
        <x:v>54</x:v>
      </x:c>
      <x:c r="D100" s="59" t="str">
        <x:v>Lifetime Default Loss</x:v>
      </x:c>
    </x:row>
    <x:row r="101" ht="15" customHeight="1">
      <x:c r="A101" s="57" t="str">
        <x:v>OLAP</x:v>
      </x:c>
      <x:c r="B101" s="59" t="str">
        <x:v>Borrowers with Outstanding Loans</x:v>
      </x:c>
      <x:c r="C101" s="57" t="n">
        <x:v>55</x:v>
      </x:c>
      <x:c r="D101" s="59" t="str">
        <x:v>Portfolio Outstanding Principal</x:v>
      </x:c>
    </x:row>
    <x:row r="102" ht="15" customHeight="1">
      <x:c r="A102" s="57" t="str">
        <x:v>OLAP</x:v>
      </x:c>
      <x:c r="B102" s="59" t="str">
        <x:v>Borrowers with Outstanding Loans</x:v>
      </x:c>
      <x:c r="C102" s="57" t="n">
        <x:v>56</x:v>
      </x:c>
      <x:c r="D102" s="59" t="str">
        <x:v>Portfolio Share Join Key</x:v>
      </x:c>
    </x:row>
    <x:row r="103" ht="15" customHeight="1">
      <x:c r="A103" s="57" t="str">
        <x:v>OLAP</x:v>
      </x:c>
      <x:c r="B103" s="59" t="str">
        <x:v>Profit Contribution 30D</x:v>
      </x:c>
      <x:c r="C103" s="57" t="n">
        <x:v>1</x:v>
      </x:c>
      <x:c r="D103" s="59" t="str">
        <x:v>_RowNumber</x:v>
      </x:c>
    </x:row>
    <x:row r="104" ht="15" customHeight="1">
      <x:c r="A104" s="57" t="str">
        <x:v>OLAP</x:v>
      </x:c>
      <x:c r="B104" s="59" t="str">
        <x:v>Profit Contribution 30D</x:v>
      </x:c>
      <x:c r="C104" s="57" t="n">
        <x:v>2</x:v>
      </x:c>
      <x:c r="D104" s="59" t="str">
        <x:v>Row ID</x:v>
      </x:c>
    </x:row>
    <x:row r="105" ht="15" customHeight="1">
      <x:c r="A105" s="57" t="str">
        <x:v>OLAP</x:v>
      </x:c>
      <x:c r="B105" s="59" t="str">
        <x:v>Profit Contribution 30D</x:v>
      </x:c>
      <x:c r="C105" s="57" t="n">
        <x:v>3</x:v>
      </x:c>
      <x:c r="D105" s="59" t="str">
        <x:v>Borrower Name</x:v>
      </x:c>
    </x:row>
    <x:row r="106" ht="15" customHeight="1">
      <x:c r="A106" s="57" t="str">
        <x:v>OLAP</x:v>
      </x:c>
      <x:c r="B106" s="59" t="str">
        <x:v>Profit Contribution 30D</x:v>
      </x:c>
      <x:c r="C106" s="57" t="n">
        <x:v>4</x:v>
      </x:c>
      <x:c r="D106" s="59" t="str">
        <x:v>Telephone</x:v>
      </x:c>
    </x:row>
    <x:row r="107" ht="15" customHeight="1">
      <x:c r="A107" s="57" t="str">
        <x:v>OLAP</x:v>
      </x:c>
      <x:c r="B107" s="59" t="str">
        <x:v>Profit Contribution 30D</x:v>
      </x:c>
      <x:c r="C107" s="57" t="n">
        <x:v>5</x:v>
      </x:c>
      <x:c r="D107" s="59" t="str">
        <x:v>Description</x:v>
      </x:c>
    </x:row>
    <x:row r="108" ht="15" customHeight="1">
      <x:c r="A108" s="57" t="str">
        <x:v>OLAP</x:v>
      </x:c>
      <x:c r="B108" s="59" t="str">
        <x:v>Profit Contribution 30D</x:v>
      </x:c>
      <x:c r="C108" s="57" t="n">
        <x:v>6</x:v>
      </x:c>
      <x:c r="D108" s="59" t="str">
        <x:v>Creation Date</x:v>
      </x:c>
    </x:row>
    <x:row r="109" ht="15" customHeight="1">
      <x:c r="A109" s="57" t="str">
        <x:v>OLAP</x:v>
      </x:c>
      <x:c r="B109" s="59" t="str">
        <x:v>Profit Contribution 30D</x:v>
      </x:c>
      <x:c r="C109" s="57" t="n">
        <x:v>7</x:v>
      </x:c>
      <x:c r="D109" s="59" t="str">
        <x:v>Related Loans</x:v>
      </x:c>
    </x:row>
    <x:row r="110" ht="15" customHeight="1">
      <x:c r="A110" s="57" t="str">
        <x:v>OLAP</x:v>
      </x:c>
      <x:c r="B110" s="59" t="str">
        <x:v>Profit Contribution 30D</x:v>
      </x:c>
      <x:c r="C110" s="57" t="n">
        <x:v>8</x:v>
      </x:c>
      <x:c r="D110" s="59" t="str">
        <x:v>Total Interest Earned</x:v>
      </x:c>
    </x:row>
    <x:row r="111" ht="15" customHeight="1">
      <x:c r="A111" s="57" t="str">
        <x:v>OLAP</x:v>
      </x:c>
      <x:c r="B111" s="59" t="str">
        <x:v>Profit Contribution 30D</x:v>
      </x:c>
      <x:c r="C111" s="57" t="n">
        <x:v>9</x:v>
      </x:c>
      <x:c r="D111" s="59" t="str">
        <x:v>Total Amount Loaned</x:v>
      </x:c>
    </x:row>
    <x:row r="112" ht="15" customHeight="1">
      <x:c r="A112" s="57" t="str">
        <x:v>OLAP</x:v>
      </x:c>
      <x:c r="B112" s="59" t="str">
        <x:v>Profit Contribution 30D</x:v>
      </x:c>
      <x:c r="C112" s="57" t="n">
        <x:v>10</x:v>
      </x:c>
      <x:c r="D112" s="59" t="str">
        <x:v>Total Number of Loans</x:v>
      </x:c>
    </x:row>
    <x:row r="113" ht="15" customHeight="1">
      <x:c r="A113" s="57" t="str">
        <x:v>OLAP</x:v>
      </x:c>
      <x:c r="B113" s="59" t="str">
        <x:v>Profit Contribution 30D</x:v>
      </x:c>
      <x:c r="C113" s="57" t="n">
        <x:v>11</x:v>
      </x:c>
      <x:c r="D113" s="59" t="str">
        <x:v>Total Outstanding Principal</x:v>
      </x:c>
    </x:row>
    <x:row r="114" ht="15" customHeight="1">
      <x:c r="A114" s="57" t="str">
        <x:v>OLAP</x:v>
      </x:c>
      <x:c r="B114" s="59" t="str">
        <x:v>Profit Contribution 30D</x:v>
      </x:c>
      <x:c r="C114" s="57" t="n">
        <x:v>12</x:v>
      </x:c>
      <x:c r="D114" s="59" t="str">
        <x:v>Header - Active Loans</x:v>
      </x:c>
    </x:row>
    <x:row r="115" ht="15" customHeight="1">
      <x:c r="A115" s="57" t="str">
        <x:v>OLAP</x:v>
      </x:c>
      <x:c r="B115" s="59" t="str">
        <x:v>Profit Contribution 30D</x:v>
      </x:c>
      <x:c r="C115" s="57" t="n">
        <x:v>13</x:v>
      </x:c>
      <x:c r="D115" s="59" t="str">
        <x:v>Borrower Name TE</x:v>
      </x:c>
    </x:row>
    <x:row r="116" ht="15" customHeight="1">
      <x:c r="A116" s="57" t="str">
        <x:v>OLAP</x:v>
      </x:c>
      <x:c r="B116" s="59" t="str">
        <x:v>Profit Contribution 30D</x:v>
      </x:c>
      <x:c r="C116" s="57" t="n">
        <x:v>14</x:v>
      </x:c>
      <x:c r="D116" s="59" t="str">
        <x:v>Return on Active Principal</x:v>
      </x:c>
    </x:row>
    <x:row r="117" ht="15" customHeight="1">
      <x:c r="A117" s="57" t="str">
        <x:v>OLAP</x:v>
      </x:c>
      <x:c r="B117" s="59" t="str">
        <x:v>Profit Contribution 30D</x:v>
      </x:c>
      <x:c r="C117" s="57" t="n">
        <x:v>15</x:v>
      </x:c>
      <x:c r="D117" s="59" t="str">
        <x:v>Profit Last 30 Days</x:v>
      </x:c>
    </x:row>
    <x:row r="118" ht="15" customHeight="1">
      <x:c r="A118" s="57" t="str">
        <x:v>OLAP</x:v>
      </x:c>
      <x:c r="B118" s="59" t="str">
        <x:v>Profit Contribution 30D</x:v>
      </x:c>
      <x:c r="C118" s="57" t="n">
        <x:v>16</x:v>
      </x:c>
      <x:c r="D118" s="59" t="str">
        <x:v>Projected Interest Coverage Date</x:v>
      </x:c>
    </x:row>
    <x:row r="119" ht="15" customHeight="1">
      <x:c r="A119" s="57" t="str">
        <x:v>OLAP</x:v>
      </x:c>
      <x:c r="B119" s="59" t="str">
        <x:v>Profit Contribution 30D</x:v>
      </x:c>
      <x:c r="C119" s="57" t="n">
        <x:v>17</x:v>
      </x:c>
      <x:c r="D119" s="59" t="str">
        <x:v>Active Loan Interest Earned</x:v>
      </x:c>
    </x:row>
    <x:row r="120" ht="15" customHeight="1">
      <x:c r="A120" s="57" t="str">
        <x:v>OLAP</x:v>
      </x:c>
      <x:c r="B120" s="59" t="str">
        <x:v>Profit Contribution 30D</x:v>
      </x:c>
      <x:c r="C120" s="57" t="n">
        <x:v>18</x:v>
      </x:c>
      <x:c r="D120" s="59" t="str">
        <x:v>Active Daily Interest</x:v>
      </x:c>
    </x:row>
    <x:row r="121" ht="15" customHeight="1">
      <x:c r="A121" s="57" t="str">
        <x:v>OLAP</x:v>
      </x:c>
      <x:c r="B121" s="59" t="str">
        <x:v>Profit Contribution 30D</x:v>
      </x:c>
      <x:c r="C121" s="57" t="n">
        <x:v>19</x:v>
      </x:c>
      <x:c r="D121" s="59" t="str">
        <x:v>Related Loan Assessments</x:v>
      </x:c>
    </x:row>
    <x:row r="122" ht="15" customHeight="1">
      <x:c r="A122" s="57" t="str">
        <x:v>OLAP</x:v>
      </x:c>
      <x:c r="B122" s="59" t="str">
        <x:v>Profit Contribution 30D</x:v>
      </x:c>
      <x:c r="C122" s="57" t="n">
        <x:v>20</x:v>
      </x:c>
      <x:c r="D122" s="59" t="str">
        <x:v>Related Calendars</x:v>
      </x:c>
    </x:row>
    <x:row r="123" ht="15" customHeight="1">
      <x:c r="A123" s="57" t="str">
        <x:v>OLAP</x:v>
      </x:c>
      <x:c r="B123" s="59" t="str">
        <x:v>Profit Contribution 30D</x:v>
      </x:c>
      <x:c r="C123" s="57" t="n">
        <x:v>21</x:v>
      </x:c>
      <x:c r="D123" s="59" t="str">
        <x:v>Closed Loan Interest Earned</x:v>
      </x:c>
    </x:row>
    <x:row r="124" ht="15" customHeight="1">
      <x:c r="A124" s="57" t="str">
        <x:v>OLAP</x:v>
      </x:c>
      <x:c r="B124" s="59" t="str">
        <x:v>Profit Contribution 30D</x:v>
      </x:c>
      <x:c r="C124" s="57" t="n">
        <x:v>22</x:v>
      </x:c>
      <x:c r="D124" s="59" t="str">
        <x:v>Closed Loan Principle</x:v>
      </x:c>
    </x:row>
    <x:row r="125" ht="15" customHeight="1">
      <x:c r="A125" s="57" t="str">
        <x:v>OLAP</x:v>
      </x:c>
      <x:c r="B125" s="59" t="str">
        <x:v>Profit Contribution 30D</x:v>
      </x:c>
      <x:c r="C125" s="57" t="n">
        <x:v>23</x:v>
      </x:c>
      <x:c r="D125" s="59" t="str">
        <x:v>Has Closed Loan</x:v>
      </x:c>
    </x:row>
    <x:row r="126" ht="15" customHeight="1">
      <x:c r="A126" s="57" t="str">
        <x:v>OLAP</x:v>
      </x:c>
      <x:c r="B126" s="59" t="str">
        <x:v>Profit Contribution 30D</x:v>
      </x:c>
      <x:c r="C126" s="57" t="n">
        <x:v>24</x:v>
      </x:c>
      <x:c r="D126" s="59" t="str">
        <x:v>Return on Closed Loans</x:v>
      </x:c>
    </x:row>
    <x:row r="127" ht="15" customHeight="1">
      <x:c r="A127" s="57" t="str">
        <x:v>OLAP</x:v>
      </x:c>
      <x:c r="B127" s="59" t="str">
        <x:v>Profit Contribution 30D</x:v>
      </x:c>
      <x:c r="C127" s="57" t="n">
        <x:v>25</x:v>
      </x:c>
      <x:c r="D127" s="59" t="str">
        <x:v>Header - Closed Loans</x:v>
      </x:c>
    </x:row>
    <x:row r="128" ht="15" customHeight="1">
      <x:c r="A128" s="57" t="str">
        <x:v>OLAP</x:v>
      </x:c>
      <x:c r="B128" s="59" t="str">
        <x:v>Profit Contribution 30D</x:v>
      </x:c>
      <x:c r="C128" s="57" t="n">
        <x:v>26</x:v>
      </x:c>
      <x:c r="D128" s="59" t="str">
        <x:v>Has Active Loan</x:v>
      </x:c>
    </x:row>
    <x:row r="129" ht="15" customHeight="1">
      <x:c r="A129" s="57" t="str">
        <x:v>OLAP</x:v>
      </x:c>
      <x:c r="B129" s="59" t="str">
        <x:v>Profit Contribution 30D</x:v>
      </x:c>
      <x:c r="C129" s="57" t="n">
        <x:v>27</x:v>
      </x:c>
      <x:c r="D129" s="59" t="str">
        <x:v>30D Gross Principal Days</x:v>
      </x:c>
    </x:row>
    <x:row r="130" ht="15" customHeight="1">
      <x:c r="A130" s="57" t="str">
        <x:v>OLAP</x:v>
      </x:c>
      <x:c r="B130" s="59" t="str">
        <x:v>Profit Contribution 30D</x:v>
      </x:c>
      <x:c r="C130" s="57" t="n">
        <x:v>28</x:v>
      </x:c>
      <x:c r="D130" s="59" t="str">
        <x:v>30D Principal Reduction Days</x:v>
      </x:c>
    </x:row>
    <x:row r="131" ht="15" customHeight="1">
      <x:c r="A131" s="57" t="str">
        <x:v>OLAP</x:v>
      </x:c>
      <x:c r="B131" s="59" t="str">
        <x:v>Profit Contribution 30D</x:v>
      </x:c>
      <x:c r="C131" s="57" t="n">
        <x:v>29</x:v>
      </x:c>
      <x:c r="D131" s="59" t="str">
        <x:v>30D Average Outstanding Principal</x:v>
      </x:c>
    </x:row>
    <x:row r="132" ht="15" customHeight="1">
      <x:c r="A132" s="57" t="str">
        <x:v>OLAP</x:v>
      </x:c>
      <x:c r="B132" s="59" t="str">
        <x:v>Profit Contribution 30D</x:v>
      </x:c>
      <x:c r="C132" s="57" t="n">
        <x:v>30</x:v>
      </x:c>
      <x:c r="D132" s="59" t="str">
        <x:v>30D Return on Average Principal</x:v>
      </x:c>
    </x:row>
    <x:row r="133" ht="15" customHeight="1">
      <x:c r="A133" s="57" t="str">
        <x:v>OLAP</x:v>
      </x:c>
      <x:c r="B133" s="59" t="str">
        <x:v>Profit Contribution 30D</x:v>
      </x:c>
      <x:c r="C133" s="57" t="n">
        <x:v>31</x:v>
      </x:c>
      <x:c r="D133" s="59" t="str">
        <x:v>Daily Collection Status</x:v>
      </x:c>
    </x:row>
    <x:row r="134" ht="15" customHeight="1">
      <x:c r="A134" s="57" t="str">
        <x:v>OLAP</x:v>
      </x:c>
      <x:c r="B134" s="59" t="str">
        <x:v>Profit Contribution 30D</x:v>
      </x:c>
      <x:c r="C134" s="57" t="n">
        <x:v>32</x:v>
      </x:c>
      <x:c r="D134" s="59" t="str">
        <x:v>Todays Collection Charges</x:v>
      </x:c>
    </x:row>
    <x:row r="135" ht="15" customHeight="1">
      <x:c r="A135" s="57" t="str">
        <x:v>OLAP</x:v>
      </x:c>
      <x:c r="B135" s="59" t="str">
        <x:v>Profit Contribution 30D</x:v>
      </x:c>
      <x:c r="C135" s="57" t="n">
        <x:v>33</x:v>
      </x:c>
      <x:c r="D135" s="59" t="str">
        <x:v>Todays Amount Due</x:v>
      </x:c>
    </x:row>
    <x:row r="136" ht="15" customHeight="1">
      <x:c r="A136" s="57" t="str">
        <x:v>OLAP</x:v>
      </x:c>
      <x:c r="B136" s="59" t="str">
        <x:v>Profit Contribution 30D</x:v>
      </x:c>
      <x:c r="C136" s="57" t="n">
        <x:v>34</x:v>
      </x:c>
      <x:c r="D136" s="59" t="str">
        <x:v>Todays Amount Collected</x:v>
      </x:c>
    </x:row>
    <x:row r="137" ht="15" customHeight="1">
      <x:c r="A137" s="57" t="str">
        <x:v>OLAP</x:v>
      </x:c>
      <x:c r="B137" s="59" t="str">
        <x:v>Profit Contribution 30D</x:v>
      </x:c>
      <x:c r="C137" s="57" t="n">
        <x:v>35</x:v>
      </x:c>
      <x:c r="D137" s="59" t="str">
        <x:v>Todays Amount Remaining</x:v>
      </x:c>
    </x:row>
    <x:row r="138" ht="15" customHeight="1">
      <x:c r="A138" s="57" t="str">
        <x:v>OLAP</x:v>
      </x:c>
      <x:c r="B138" s="59" t="str">
        <x:v>Profit Contribution 30D</x:v>
      </x:c>
      <x:c r="C138" s="57" t="n">
        <x:v>36</x:v>
      </x:c>
      <x:c r="D138" s="59" t="str">
        <x:v>Portfolio Exposure %</x:v>
      </x:c>
    </x:row>
    <x:row r="139" ht="15" customHeight="1">
      <x:c r="A139" s="57" t="str">
        <x:v>OLAP</x:v>
      </x:c>
      <x:c r="B139" s="59" t="str">
        <x:v>Profit Contribution 30D</x:v>
      </x:c>
      <x:c r="C139" s="57" t="n">
        <x:v>37</x:v>
      </x:c>
      <x:c r="D139" s="59" t="str">
        <x:v>Active Loan Count</x:v>
      </x:c>
    </x:row>
    <x:row r="140" ht="15" customHeight="1">
      <x:c r="A140" s="57" t="str">
        <x:v>OLAP</x:v>
      </x:c>
      <x:c r="B140" s="59" t="str">
        <x:v>Profit Contribution 30D</x:v>
      </x:c>
      <x:c r="C140" s="57" t="n">
        <x:v>38</x:v>
      </x:c>
      <x:c r="D140" s="59" t="str">
        <x:v>Oldest Active Loan Age</x:v>
      </x:c>
    </x:row>
    <x:row r="141" ht="15" customHeight="1">
      <x:c r="A141" s="57" t="str">
        <x:v>OLAP</x:v>
      </x:c>
      <x:c r="B141" s="59" t="str">
        <x:v>Profit Contribution 30D</x:v>
      </x:c>
      <x:c r="C141" s="57" t="n">
        <x:v>39</x:v>
      </x:c>
      <x:c r="D141" s="59" t="str">
        <x:v>Overdue Amount</x:v>
      </x:c>
    </x:row>
    <x:row r="142" ht="15" customHeight="1">
      <x:c r="A142" s="57" t="str">
        <x:v>OLAP</x:v>
      </x:c>
      <x:c r="B142" s="59" t="str">
        <x:v>Profit Contribution 30D</x:v>
      </x:c>
      <x:c r="C142" s="57" t="n">
        <x:v>40</x:v>
      </x:c>
      <x:c r="D142" s="59" t="str">
        <x:v>Overdue Charge Count</x:v>
      </x:c>
    </x:row>
    <x:row r="143" ht="15" customHeight="1">
      <x:c r="A143" s="57" t="str">
        <x:v>OLAP</x:v>
      </x:c>
      <x:c r="B143" s="59" t="str">
        <x:v>Profit Contribution 30D</x:v>
      </x:c>
      <x:c r="C143" s="57" t="n">
        <x:v>41</x:v>
      </x:c>
      <x:c r="D143" s="59" t="str">
        <x:v>Historical Charge Count</x:v>
      </x:c>
    </x:row>
    <x:row r="144" ht="15" customHeight="1">
      <x:c r="A144" s="57" t="str">
        <x:v>OLAP</x:v>
      </x:c>
      <x:c r="B144" s="59" t="str">
        <x:v>Profit Contribution 30D</x:v>
      </x:c>
      <x:c r="C144" s="57" t="n">
        <x:v>42</x:v>
      </x:c>
      <x:c r="D144" s="59" t="str">
        <x:v>On Time Charge Count</x:v>
      </x:c>
    </x:row>
    <x:row r="145" ht="15" customHeight="1">
      <x:c r="A145" s="57" t="str">
        <x:v>OLAP</x:v>
      </x:c>
      <x:c r="B145" s="59" t="str">
        <x:v>Profit Contribution 30D</x:v>
      </x:c>
      <x:c r="C145" s="57" t="n">
        <x:v>43</x:v>
      </x:c>
      <x:c r="D145" s="59" t="str">
        <x:v>Lifetime On Time Rate</x:v>
      </x:c>
    </x:row>
    <x:row r="146" ht="15" customHeight="1">
      <x:c r="A146" s="57" t="str">
        <x:v>OLAP</x:v>
      </x:c>
      <x:c r="B146" s="59" t="str">
        <x:v>Profit Contribution 30D</x:v>
      </x:c>
      <x:c r="C146" s="57" t="n">
        <x:v>44</x:v>
      </x:c>
      <x:c r="D146" s="59" t="str">
        <x:v>Recent 30D Charge Count</x:v>
      </x:c>
    </x:row>
    <x:row r="147" ht="15" customHeight="1">
      <x:c r="A147" s="57" t="str">
        <x:v>OLAP</x:v>
      </x:c>
      <x:c r="B147" s="59" t="str">
        <x:v>Profit Contribution 30D</x:v>
      </x:c>
      <x:c r="C147" s="57" t="n">
        <x:v>45</x:v>
      </x:c>
      <x:c r="D147" s="59" t="str">
        <x:v>Recent 30D On Time Count</x:v>
      </x:c>
    </x:row>
    <x:row r="148" ht="15" customHeight="1">
      <x:c r="A148" s="57" t="str">
        <x:v>OLAP</x:v>
      </x:c>
      <x:c r="B148" s="59" t="str">
        <x:v>Profit Contribution 30D</x:v>
      </x:c>
      <x:c r="C148" s="57" t="n">
        <x:v>46</x:v>
      </x:c>
      <x:c r="D148" s="59" t="str">
        <x:v>Recent 30D On Time Rate</x:v>
      </x:c>
    </x:row>
    <x:row r="149" ht="15" customHeight="1">
      <x:c r="A149" s="57" t="str">
        <x:v>OLAP</x:v>
      </x:c>
      <x:c r="B149" s="59" t="str">
        <x:v>Profit Contribution 30D</x:v>
      </x:c>
      <x:c r="C149" s="57" t="n">
        <x:v>47</x:v>
      </x:c>
      <x:c r="D149" s="59" t="str">
        <x:v>Lifetime Late Payment Count</x:v>
      </x:c>
    </x:row>
    <x:row r="150" ht="15" customHeight="1">
      <x:c r="A150" s="57" t="str">
        <x:v>OLAP</x:v>
      </x:c>
      <x:c r="B150" s="59" t="str">
        <x:v>Profit Contribution 30D</x:v>
      </x:c>
      <x:c r="C150" s="57" t="n">
        <x:v>48</x:v>
      </x:c>
      <x:c r="D150" s="59" t="str">
        <x:v>Recent 30D Late Payment Count</x:v>
      </x:c>
    </x:row>
    <x:row r="151" ht="15" customHeight="1">
      <x:c r="A151" s="57" t="str">
        <x:v>OLAP</x:v>
      </x:c>
      <x:c r="B151" s="59" t="str">
        <x:v>Profit Contribution 30D</x:v>
      </x:c>
      <x:c r="C151" s="57" t="n">
        <x:v>49</x:v>
      </x:c>
      <x:c r="D151" s="59" t="str">
        <x:v>Maximum Days Late</x:v>
      </x:c>
    </x:row>
    <x:row r="152" ht="15" customHeight="1">
      <x:c r="A152" s="57" t="str">
        <x:v>OLAP</x:v>
      </x:c>
      <x:c r="B152" s="59" t="str">
        <x:v>Profit Contribution 30D</x:v>
      </x:c>
      <x:c r="C152" s="57" t="n">
        <x:v>50</x:v>
      </x:c>
      <x:c r="D152" s="59" t="str">
        <x:v>Last Late Payment Date</x:v>
      </x:c>
    </x:row>
    <x:row r="153" ht="15" customHeight="1">
      <x:c r="A153" s="57" t="str">
        <x:v>OLAP</x:v>
      </x:c>
      <x:c r="B153" s="59" t="str">
        <x:v>Profit Contribution 30D</x:v>
      </x:c>
      <x:c r="C153" s="57" t="n">
        <x:v>51</x:v>
      </x:c>
      <x:c r="D153" s="59" t="str">
        <x:v>Largest Successful Loan</x:v>
      </x:c>
    </x:row>
    <x:row r="154" ht="15" customHeight="1">
      <x:c r="A154" s="57" t="str">
        <x:v>OLAP</x:v>
      </x:c>
      <x:c r="B154" s="59" t="str">
        <x:v>Profit Contribution 30D</x:v>
      </x:c>
      <x:c r="C154" s="57" t="n">
        <x:v>52</x:v>
      </x:c>
      <x:c r="D154" s="59" t="str">
        <x:v>Average Successful Loan Size</x:v>
      </x:c>
    </x:row>
    <x:row r="155" ht="15" customHeight="1">
      <x:c r="A155" s="57" t="str">
        <x:v>OLAP</x:v>
      </x:c>
      <x:c r="B155" s="59" t="str">
        <x:v>Profit Contribution 30D</x:v>
      </x:c>
      <x:c r="C155" s="57" t="n">
        <x:v>53</x:v>
      </x:c>
      <x:c r="D155" s="59" t="str">
        <x:v>Default Count</x:v>
      </x:c>
    </x:row>
    <x:row r="156" ht="15" customHeight="1">
      <x:c r="A156" s="57" t="str">
        <x:v>OLAP</x:v>
      </x:c>
      <x:c r="B156" s="59" t="str">
        <x:v>Profit Contribution 30D</x:v>
      </x:c>
      <x:c r="C156" s="57" t="n">
        <x:v>54</x:v>
      </x:c>
      <x:c r="D156" s="59" t="str">
        <x:v>Lifetime Default Loss</x:v>
      </x:c>
    </x:row>
    <x:row r="157" ht="15" customHeight="1">
      <x:c r="A157" s="57" t="str">
        <x:v>OLAP</x:v>
      </x:c>
      <x:c r="B157" s="59" t="str">
        <x:v>Profit Contribution 30D</x:v>
      </x:c>
      <x:c r="C157" s="57" t="n">
        <x:v>55</x:v>
      </x:c>
      <x:c r="D157" s="59" t="str">
        <x:v>Portfolio Outstanding Principal</x:v>
      </x:c>
    </x:row>
    <x:row r="158" ht="15" customHeight="1">
      <x:c r="A158" s="57" t="str">
        <x:v>OLAP</x:v>
      </x:c>
      <x:c r="B158" s="59" t="str">
        <x:v>Profit Contribution 30D</x:v>
      </x:c>
      <x:c r="C158" s="57" t="n">
        <x:v>56</x:v>
      </x:c>
      <x:c r="D158" s="59" t="str">
        <x:v>Portfolio Share Join Key</x:v>
      </x:c>
    </x:row>
    <x:row r="159" ht="15" customHeight="1">
      <x:c r="A159" s="57" t="str">
        <x:v>OLAP</x:v>
      </x:c>
      <x:c r="B159" s="59" t="str">
        <x:v>Reporting Borrowers</x:v>
      </x:c>
      <x:c r="C159" s="57" t="n">
        <x:v>1</x:v>
      </x:c>
      <x:c r="D159" s="59" t="str">
        <x:v>_RowNumber</x:v>
      </x:c>
    </x:row>
    <x:row r="160" ht="15" customHeight="1">
      <x:c r="A160" s="57" t="str">
        <x:v>OLAP</x:v>
      </x:c>
      <x:c r="B160" s="59" t="str">
        <x:v>Reporting Borrowers</x:v>
      </x:c>
      <x:c r="C160" s="57" t="n">
        <x:v>2</x:v>
      </x:c>
      <x:c r="D160" s="59" t="str">
        <x:v>Row ID</x:v>
      </x:c>
    </x:row>
    <x:row r="161" ht="15" customHeight="1">
      <x:c r="A161" s="57" t="str">
        <x:v>OLAP</x:v>
      </x:c>
      <x:c r="B161" s="59" t="str">
        <x:v>Reporting Borrowers</x:v>
      </x:c>
      <x:c r="C161" s="57" t="n">
        <x:v>3</x:v>
      </x:c>
      <x:c r="D161" s="59" t="str">
        <x:v>Borrower Name</x:v>
      </x:c>
    </x:row>
    <x:row r="162" ht="15" customHeight="1">
      <x:c r="A162" s="57" t="str">
        <x:v>OLAP</x:v>
      </x:c>
      <x:c r="B162" s="59" t="str">
        <x:v>Reporting Borrowers</x:v>
      </x:c>
      <x:c r="C162" s="57" t="n">
        <x:v>4</x:v>
      </x:c>
      <x:c r="D162" s="59" t="str">
        <x:v>Borrower Name TE</x:v>
      </x:c>
    </x:row>
    <x:row r="163" ht="15" customHeight="1">
      <x:c r="A163" s="57" t="str">
        <x:v>OLAP</x:v>
      </x:c>
      <x:c r="B163" s="59" t="str">
        <x:v>Reporting Borrowers</x:v>
      </x:c>
      <x:c r="C163" s="57" t="n">
        <x:v>5</x:v>
      </x:c>
      <x:c r="D163" s="59" t="str">
        <x:v>Description</x:v>
      </x:c>
    </x:row>
    <x:row r="164" ht="15" customHeight="1">
      <x:c r="A164" s="57" t="str">
        <x:v>OLAP</x:v>
      </x:c>
      <x:c r="B164" s="59" t="str">
        <x:v>Reporting Borrowers</x:v>
      </x:c>
      <x:c r="C164" s="57" t="n">
        <x:v>6</x:v>
      </x:c>
      <x:c r="D164" s="59" t="str">
        <x:v>Total Interest Earned</x:v>
      </x:c>
    </x:row>
    <x:row r="165" ht="15" customHeight="1">
      <x:c r="A165" s="57" t="str">
        <x:v>OLAP</x:v>
      </x:c>
      <x:c r="B165" s="59" t="str">
        <x:v>Reporting Borrowers</x:v>
      </x:c>
      <x:c r="C165" s="57" t="n">
        <x:v>7</x:v>
      </x:c>
      <x:c r="D165" s="59" t="str">
        <x:v>Total Amount Loaned</x:v>
      </x:c>
    </x:row>
    <x:row r="166" ht="15" customHeight="1">
      <x:c r="A166" s="57" t="str">
        <x:v>OLAP</x:v>
      </x:c>
      <x:c r="B166" s="59" t="str">
        <x:v>Reporting Borrowers</x:v>
      </x:c>
      <x:c r="C166" s="57" t="n">
        <x:v>8</x:v>
      </x:c>
      <x:c r="D166" s="59" t="str">
        <x:v>Total Number of Loans</x:v>
      </x:c>
    </x:row>
    <x:row r="167" ht="15" customHeight="1">
      <x:c r="A167" s="57" t="str">
        <x:v>OLAP</x:v>
      </x:c>
      <x:c r="B167" s="59" t="str">
        <x:v>Reporting Borrowers</x:v>
      </x:c>
      <x:c r="C167" s="57" t="n">
        <x:v>9</x:v>
      </x:c>
      <x:c r="D167" s="59" t="str">
        <x:v>Total Outstanding Principal</x:v>
      </x:c>
    </x:row>
    <x:row r="168" ht="15" customHeight="1">
      <x:c r="A168" s="57" t="str">
        <x:v>OLAP</x:v>
      </x:c>
      <x:c r="B168" s="59" t="str">
        <x:v>Reporting Borrowers</x:v>
      </x:c>
      <x:c r="C168" s="57" t="n">
        <x:v>10</x:v>
      </x:c>
      <x:c r="D168" s="59" t="str">
        <x:v>Daily Collection Status</x:v>
      </x:c>
    </x:row>
    <x:row r="169" ht="15" customHeight="1">
      <x:c r="A169" s="57" t="str">
        <x:v>OLAP</x:v>
      </x:c>
      <x:c r="B169" s="59" t="str">
        <x:v>Reporting Borrowers</x:v>
      </x:c>
      <x:c r="C169" s="57" t="n">
        <x:v>11</x:v>
      </x:c>
      <x:c r="D169" s="59" t="str">
        <x:v>Todays Amount Due</x:v>
      </x:c>
    </x:row>
    <x:row r="170" ht="15" customHeight="1">
      <x:c r="A170" s="57" t="str">
        <x:v>OLAP</x:v>
      </x:c>
      <x:c r="B170" s="59" t="str">
        <x:v>Reporting Borrowers</x:v>
      </x:c>
      <x:c r="C170" s="57" t="n">
        <x:v>12</x:v>
      </x:c>
      <x:c r="D170" s="59" t="str">
        <x:v>Todays Amount Collected</x:v>
      </x:c>
    </x:row>
    <x:row r="171" ht="15" customHeight="1">
      <x:c r="A171" s="57" t="str">
        <x:v>OLAP</x:v>
      </x:c>
      <x:c r="B171" s="59" t="str">
        <x:v>Reporting Borrowers</x:v>
      </x:c>
      <x:c r="C171" s="57" t="n">
        <x:v>13</x:v>
      </x:c>
      <x:c r="D171" s="59" t="str">
        <x:v>Todays Amount Remaining</x:v>
      </x:c>
    </x:row>
    <x:row r="172" ht="15" customHeight="1">
      <x:c r="A172" s="57" t="str">
        <x:v>OLAP</x:v>
      </x:c>
      <x:c r="B172" s="59" t="str">
        <x:v>Reporting Borrowers</x:v>
      </x:c>
      <x:c r="C172" s="57" t="n">
        <x:v>14</x:v>
      </x:c>
      <x:c r="D172" s="59" t="str">
        <x:v>30D Return on Average Principal</x:v>
      </x:c>
    </x:row>
    <x:row r="173" ht="15" customHeight="1">
      <x:c r="A173" s="57" t="str">
        <x:v>OLAP</x:v>
      </x:c>
      <x:c r="B173" s="59" t="str">
        <x:v>Reporting Borrowers</x:v>
      </x:c>
      <x:c r="C173" s="57" t="n">
        <x:v>15</x:v>
      </x:c>
      <x:c r="D173" s="59" t="str">
        <x:v>Return on Active Principal</x:v>
      </x:c>
    </x:row>
    <x:row r="174" ht="15" customHeight="1">
      <x:c r="A174" s="57" t="str">
        <x:v>OLAP</x:v>
      </x:c>
      <x:c r="B174" s="59" t="str">
        <x:v>Reporting Borrowers</x:v>
      </x:c>
      <x:c r="C174" s="57" t="n">
        <x:v>16</x:v>
      </x:c>
      <x:c r="D174" s="59" t="str">
        <x:v>30D Average Outstanding Principal</x:v>
      </x:c>
    </x:row>
    <x:row r="175" ht="15" customHeight="1">
      <x:c r="A175" s="57" t="str">
        <x:v>OLAP</x:v>
      </x:c>
      <x:c r="B175" s="59" t="str">
        <x:v>Reporting Borrowers</x:v>
      </x:c>
      <x:c r="C175" s="57" t="n">
        <x:v>17</x:v>
      </x:c>
      <x:c r="D175" s="59" t="str">
        <x:v>Profit Last 30 Days</x:v>
      </x:c>
    </x:row>
    <x:row r="176" ht="15" customHeight="1">
      <x:c r="A176" s="57" t="str">
        <x:v>OLAP</x:v>
      </x:c>
      <x:c r="B176" s="59" t="str">
        <x:v>Reporting Borrowers</x:v>
      </x:c>
      <x:c r="C176" s="57" t="n">
        <x:v>18</x:v>
      </x:c>
      <x:c r="D176" s="59" t="str">
        <x:v>Has Active Loan</x:v>
      </x:c>
    </x:row>
    <x:row r="177" ht="15" customHeight="1">
      <x:c r="A177" s="57" t="str">
        <x:v>OLAP</x:v>
      </x:c>
      <x:c r="B177" s="59" t="str">
        <x:v>Reporting Borrowers</x:v>
      </x:c>
      <x:c r="C177" s="57" t="n">
        <x:v>19</x:v>
      </x:c>
      <x:c r="D177" s="59" t="str">
        <x:v>Has Closed Loan</x:v>
      </x:c>
    </x:row>
    <x:row r="178" ht="15" customHeight="1">
      <x:c r="A178" s="57" t="str">
        <x:v>OLAP</x:v>
      </x:c>
      <x:c r="B178" s="59" t="str">
        <x:v>Reporting Borrowers</x:v>
      </x:c>
      <x:c r="C178" s="57" t="n">
        <x:v>20</x:v>
      </x:c>
      <x:c r="D178" s="59" t="str">
        <x:v>Overdue Amount</x:v>
      </x:c>
    </x:row>
    <x:row r="179" ht="15" customHeight="1">
      <x:c r="A179" s="57" t="str">
        <x:v>OLAP</x:v>
      </x:c>
      <x:c r="B179" s="59" t="str">
        <x:v>Reporting Borrowers</x:v>
      </x:c>
      <x:c r="C179" s="57" t="n">
        <x:v>21</x:v>
      </x:c>
      <x:c r="D179" s="59" t="str">
        <x:v>Overdue Charge Count</x:v>
      </x:c>
    </x:row>
    <x:row r="180" ht="15" customHeight="1">
      <x:c r="A180" s="57" t="str">
        <x:v>OLAP</x:v>
      </x:c>
      <x:c r="B180" s="59" t="str">
        <x:v>Reporting Borrowers</x:v>
      </x:c>
      <x:c r="C180" s="57" t="n">
        <x:v>22</x:v>
      </x:c>
      <x:c r="D180" s="59" t="str">
        <x:v>Oldest Active Loan Age</x:v>
      </x:c>
    </x:row>
    <x:row r="181" ht="15" customHeight="1">
      <x:c r="A181" s="57" t="str">
        <x:v>OLAP</x:v>
      </x:c>
      <x:c r="B181" s="59" t="str">
        <x:v>Reporting Borrowers</x:v>
      </x:c>
      <x:c r="C181" s="57" t="n">
        <x:v>23</x:v>
      </x:c>
      <x:c r="D181" s="59" t="str">
        <x:v>Active Loan Count</x:v>
      </x:c>
    </x:row>
    <x:row r="182" ht="15" customHeight="1">
      <x:c r="A182" s="57" t="str">
        <x:v>OLAP</x:v>
      </x:c>
      <x:c r="B182" s="59" t="str">
        <x:v>Reporting Borrowers</x:v>
      </x:c>
      <x:c r="C182" s="57" t="n">
        <x:v>24</x:v>
      </x:c>
      <x:c r="D182" s="59" t="str">
        <x:v>Portfolio Exposure %</x:v>
      </x:c>
    </x:row>
    <x:row r="183" ht="15" customHeight="1">
      <x:c r="A183" s="57" t="str">
        <x:v>OLAP</x:v>
      </x:c>
      <x:c r="B183" s="59" t="str">
        <x:v>Reporting Borrowers</x:v>
      </x:c>
      <x:c r="C183" s="57" t="n">
        <x:v>25</x:v>
      </x:c>
      <x:c r="D183" s="59" t="str">
        <x:v>Historical Charge Count</x:v>
      </x:c>
    </x:row>
    <x:row r="184" ht="15" customHeight="1">
      <x:c r="A184" s="57" t="str">
        <x:v>OLAP</x:v>
      </x:c>
      <x:c r="B184" s="59" t="str">
        <x:v>Reporting Borrowers</x:v>
      </x:c>
      <x:c r="C184" s="57" t="n">
        <x:v>26</x:v>
      </x:c>
      <x:c r="D184" s="59" t="str">
        <x:v>On Time Charge Count</x:v>
      </x:c>
    </x:row>
    <x:row r="185" ht="15" customHeight="1">
      <x:c r="A185" s="57" t="str">
        <x:v>OLAP</x:v>
      </x:c>
      <x:c r="B185" s="59" t="str">
        <x:v>Reporting Borrowers</x:v>
      </x:c>
      <x:c r="C185" s="57" t="n">
        <x:v>27</x:v>
      </x:c>
      <x:c r="D185" s="59" t="str">
        <x:v>Lifetime On Time Rate</x:v>
      </x:c>
    </x:row>
    <x:row r="186" ht="15" customHeight="1">
      <x:c r="A186" s="57" t="str">
        <x:v>OLAP</x:v>
      </x:c>
      <x:c r="B186" s="59" t="str">
        <x:v>Reporting Borrowers</x:v>
      </x:c>
      <x:c r="C186" s="57" t="n">
        <x:v>28</x:v>
      </x:c>
      <x:c r="D186" s="59" t="str">
        <x:v>Recent 30D Charge Count</x:v>
      </x:c>
    </x:row>
    <x:row r="187" ht="15" customHeight="1">
      <x:c r="A187" s="57" t="str">
        <x:v>OLAP</x:v>
      </x:c>
      <x:c r="B187" s="59" t="str">
        <x:v>Reporting Borrowers</x:v>
      </x:c>
      <x:c r="C187" s="57" t="n">
        <x:v>29</x:v>
      </x:c>
      <x:c r="D187" s="59" t="str">
        <x:v>Recent 30D On Time Count</x:v>
      </x:c>
    </x:row>
    <x:row r="188" ht="15" customHeight="1">
      <x:c r="A188" s="57" t="str">
        <x:v>OLAP</x:v>
      </x:c>
      <x:c r="B188" s="59" t="str">
        <x:v>Reporting Borrowers</x:v>
      </x:c>
      <x:c r="C188" s="57" t="n">
        <x:v>30</x:v>
      </x:c>
      <x:c r="D188" s="59" t="str">
        <x:v>Recent 30D On Time Rate</x:v>
      </x:c>
    </x:row>
    <x:row r="189" ht="15" customHeight="1">
      <x:c r="A189" s="57" t="str">
        <x:v>OLAP</x:v>
      </x:c>
      <x:c r="B189" s="59" t="str">
        <x:v>Reporting Borrowers</x:v>
      </x:c>
      <x:c r="C189" s="57" t="n">
        <x:v>31</x:v>
      </x:c>
      <x:c r="D189" s="59" t="str">
        <x:v>Lifetime Late Payment Count</x:v>
      </x:c>
    </x:row>
    <x:row r="190" ht="15" customHeight="1">
      <x:c r="A190" s="57" t="str">
        <x:v>OLAP</x:v>
      </x:c>
      <x:c r="B190" s="59" t="str">
        <x:v>Reporting Borrowers</x:v>
      </x:c>
      <x:c r="C190" s="57" t="n">
        <x:v>32</x:v>
      </x:c>
      <x:c r="D190" s="59" t="str">
        <x:v>Recent 30D Late Payment Count</x:v>
      </x:c>
    </x:row>
    <x:row r="191" ht="15" customHeight="1">
      <x:c r="A191" s="57" t="str">
        <x:v>OLAP</x:v>
      </x:c>
      <x:c r="B191" s="59" t="str">
        <x:v>Reporting Borrowers</x:v>
      </x:c>
      <x:c r="C191" s="57" t="n">
        <x:v>33</x:v>
      </x:c>
      <x:c r="D191" s="59" t="str">
        <x:v>Maximum Days Late</x:v>
      </x:c>
    </x:row>
    <x:row r="192" ht="15" customHeight="1">
      <x:c r="A192" s="57" t="str">
        <x:v>OLAP</x:v>
      </x:c>
      <x:c r="B192" s="59" t="str">
        <x:v>Reporting Borrowers</x:v>
      </x:c>
      <x:c r="C192" s="57" t="n">
        <x:v>34</x:v>
      </x:c>
      <x:c r="D192" s="59" t="str">
        <x:v>Last Late Payment Date</x:v>
      </x:c>
    </x:row>
    <x:row r="193" ht="15" customHeight="1">
      <x:c r="A193" s="57" t="str">
        <x:v>OLAP</x:v>
      </x:c>
      <x:c r="B193" s="59" t="str">
        <x:v>Reporting Borrowers</x:v>
      </x:c>
      <x:c r="C193" s="57" t="n">
        <x:v>35</x:v>
      </x:c>
      <x:c r="D193" s="59" t="str">
        <x:v>Largest Successful Loan</x:v>
      </x:c>
    </x:row>
    <x:row r="194" ht="15" customHeight="1">
      <x:c r="A194" s="57" t="str">
        <x:v>OLAP</x:v>
      </x:c>
      <x:c r="B194" s="59" t="str">
        <x:v>Reporting Borrowers</x:v>
      </x:c>
      <x:c r="C194" s="57" t="n">
        <x:v>36</x:v>
      </x:c>
      <x:c r="D194" s="59" t="str">
        <x:v>Average Successful Loan Size</x:v>
      </x:c>
    </x:row>
    <x:row r="195" ht="15" customHeight="1">
      <x:c r="A195" s="57" t="str">
        <x:v>OLAP</x:v>
      </x:c>
      <x:c r="B195" s="59" t="str">
        <x:v>Reporting Borrowers</x:v>
      </x:c>
      <x:c r="C195" s="57" t="n">
        <x:v>37</x:v>
      </x:c>
      <x:c r="D195" s="59" t="str">
        <x:v>Default Count</x:v>
      </x:c>
    </x:row>
    <x:row r="196" ht="15" customHeight="1">
      <x:c r="A196" s="57" t="str">
        <x:v>OLAP</x:v>
      </x:c>
      <x:c r="B196" s="59" t="str">
        <x:v>Reporting Borrowers</x:v>
      </x:c>
      <x:c r="C196" s="57" t="n">
        <x:v>38</x:v>
      </x:c>
      <x:c r="D196" s="59" t="str">
        <x:v>Lifetime Default Loss</x:v>
      </x:c>
    </x:row>
    <x:row r="197" ht="15" customHeight="1">
      <x:c r="A197" s="57" t="str">
        <x:v>OLAP</x:v>
      </x:c>
      <x:c r="B197" s="59" t="str">
        <x:v>Reporting Borrowers</x:v>
      </x:c>
      <x:c r="C197" s="57" t="n">
        <x:v>39</x:v>
      </x:c>
      <x:c r="D197" s="59" t="str">
        <x:v>Portfolio Outstanding Principal</x:v>
      </x:c>
    </x:row>
    <x:row r="198" ht="15" customHeight="1">
      <x:c r="A198" s="57" t="str">
        <x:v>OLAP</x:v>
      </x:c>
      <x:c r="B198" s="59" t="str">
        <x:v>Reporting Borrowers</x:v>
      </x:c>
      <x:c r="C198" s="57" t="n">
        <x:v>40</x:v>
      </x:c>
      <x:c r="D198" s="59" t="str">
        <x:v>Portfolio Share Join Key</x:v>
      </x:c>
    </x:row>
    <x:row r="199" ht="15" customHeight="1">
      <x:c r="A199" s="57" t="str">
        <x:v>OLAP</x:v>
      </x:c>
      <x:c r="B199" s="59" t="str">
        <x:v>Reporting Charges</x:v>
      </x:c>
      <x:c r="C199" s="57" t="n">
        <x:v>1</x:v>
      </x:c>
      <x:c r="D199" s="59" t="str">
        <x:v>_RowNumber</x:v>
      </x:c>
    </x:row>
    <x:row r="200" ht="15" customHeight="1">
      <x:c r="A200" s="57" t="str">
        <x:v>OLAP</x:v>
      </x:c>
      <x:c r="B200" s="59" t="str">
        <x:v>Reporting Charges</x:v>
      </x:c>
      <x:c r="C200" s="57" t="n">
        <x:v>2</x:v>
      </x:c>
      <x:c r="D200" s="59" t="str">
        <x:v>Row ID</x:v>
      </x:c>
    </x:row>
    <x:row r="201" ht="15" customHeight="1">
      <x:c r="A201" s="57" t="str">
        <x:v>OLAP</x:v>
      </x:c>
      <x:c r="B201" s="59" t="str">
        <x:v>Reporting Charges</x:v>
      </x:c>
      <x:c r="C201" s="57" t="n">
        <x:v>3</x:v>
      </x:c>
      <x:c r="D201" s="59" t="str">
        <x:v>Ref Loans</x:v>
      </x:c>
    </x:row>
    <x:row r="202" ht="15" customHeight="1">
      <x:c r="A202" s="57" t="str">
        <x:v>OLAP</x:v>
      </x:c>
      <x:c r="B202" s="59" t="str">
        <x:v>Reporting Charges</x:v>
      </x:c>
      <x:c r="C202" s="57" t="n">
        <x:v>4</x:v>
      </x:c>
      <x:c r="D202" s="59" t="str">
        <x:v>Charge Date</x:v>
      </x:c>
    </x:row>
    <x:row r="203" ht="15" customHeight="1">
      <x:c r="A203" s="57" t="str">
        <x:v>OLAP</x:v>
      </x:c>
      <x:c r="B203" s="59" t="str">
        <x:v>Reporting Charges</x:v>
      </x:c>
      <x:c r="C203" s="57" t="n">
        <x:v>5</x:v>
      </x:c>
      <x:c r="D203" s="59" t="str">
        <x:v>Interest Due</x:v>
      </x:c>
    </x:row>
    <x:row r="204" ht="15" customHeight="1">
      <x:c r="A204" s="57" t="str">
        <x:v>OLAP</x:v>
      </x:c>
      <x:c r="B204" s="59" t="str">
        <x:v>Reporting Charges</x:v>
      </x:c>
      <x:c r="C204" s="57" t="n">
        <x:v>6</x:v>
      </x:c>
      <x:c r="D204" s="59" t="str">
        <x:v>Principal Due</x:v>
      </x:c>
    </x:row>
    <x:row r="205" ht="15" customHeight="1">
      <x:c r="A205" s="57" t="str">
        <x:v>OLAP</x:v>
      </x:c>
      <x:c r="B205" s="59" t="str">
        <x:v>Reporting Charges</x:v>
      </x:c>
      <x:c r="C205" s="57" t="n">
        <x:v>7</x:v>
      </x:c>
      <x:c r="D205" s="59" t="str">
        <x:v>Amount Due</x:v>
      </x:c>
    </x:row>
    <x:row r="206" ht="15" customHeight="1">
      <x:c r="A206" s="57" t="str">
        <x:v>OLAP</x:v>
      </x:c>
      <x:c r="B206" s="59" t="str">
        <x:v>Reporting Charges</x:v>
      </x:c>
      <x:c r="C206" s="57" t="n">
        <x:v>8</x:v>
      </x:c>
      <x:c r="D206" s="59" t="str">
        <x:v>Payment Date</x:v>
      </x:c>
    </x:row>
    <x:row r="207" ht="15" customHeight="1">
      <x:c r="A207" s="57" t="str">
        <x:v>OLAP</x:v>
      </x:c>
      <x:c r="B207" s="59" t="str">
        <x:v>Reporting Charges</x:v>
      </x:c>
      <x:c r="C207" s="57" t="n">
        <x:v>9</x:v>
      </x:c>
      <x:c r="D207" s="59" t="str">
        <x:v>Payment Status TE</x:v>
      </x:c>
    </x:row>
    <x:row r="208" ht="15" customHeight="1">
      <x:c r="A208" s="57" t="str">
        <x:v>OLAP</x:v>
      </x:c>
      <x:c r="B208" s="59" t="str">
        <x:v>Reporting Charges</x:v>
      </x:c>
      <x:c r="C208" s="57" t="n">
        <x:v>10</x:v>
      </x:c>
      <x:c r="D208" s="59" t="str">
        <x:v>Principal Paid</x:v>
      </x:c>
    </x:row>
    <x:row r="209" ht="15" customHeight="1">
      <x:c r="A209" s="57" t="str">
        <x:v>OLAP</x:v>
      </x:c>
      <x:c r="B209" s="59" t="str">
        <x:v>Reporting Charges</x:v>
      </x:c>
      <x:c r="C209" s="57" t="n">
        <x:v>11</x:v>
      </x:c>
      <x:c r="D209" s="59" t="str">
        <x:v>Interest Paid</x:v>
      </x:c>
    </x:row>
    <x:row r="210" ht="15" customHeight="1">
      <x:c r="A210" s="57" t="str">
        <x:v>OLAP</x:v>
      </x:c>
      <x:c r="B210" s="59" t="str">
        <x:v>Reporting Charges</x:v>
      </x:c>
      <x:c r="C210" s="57" t="n">
        <x:v>12</x:v>
      </x:c>
      <x:c r="D210" s="59" t="str">
        <x:v>Total Paid</x:v>
      </x:c>
    </x:row>
    <x:row r="211" ht="15" customHeight="1">
      <x:c r="A211" s="57" t="str">
        <x:v>OLAP</x:v>
      </x:c>
      <x:c r="B211" s="59" t="str">
        <x:v>Reporting Charges</x:v>
      </x:c>
      <x:c r="C211" s="57" t="n">
        <x:v>13</x:v>
      </x:c>
      <x:c r="D211" s="59" t="str">
        <x:v>Principal Remaining</x:v>
      </x:c>
    </x:row>
    <x:row r="212" ht="15" customHeight="1">
      <x:c r="A212" s="57" t="str">
        <x:v>OLAP</x:v>
      </x:c>
      <x:c r="B212" s="59" t="str">
        <x:v>Reporting Charges</x:v>
      </x:c>
      <x:c r="C212" s="57" t="n">
        <x:v>14</x:v>
      </x:c>
      <x:c r="D212" s="59" t="str">
        <x:v>Interest Remaining</x:v>
      </x:c>
    </x:row>
    <x:row r="213" ht="15" customHeight="1">
      <x:c r="A213" s="57" t="str">
        <x:v>OLAP</x:v>
      </x:c>
      <x:c r="B213" s="59" t="str">
        <x:v>Reporting Charges</x:v>
      </x:c>
      <x:c r="C213" s="57" t="n">
        <x:v>15</x:v>
      </x:c>
      <x:c r="D213" s="59" t="str">
        <x:v>Amount Remaining</x:v>
      </x:c>
    </x:row>
    <x:row r="214" ht="15" customHeight="1">
      <x:c r="A214" s="57" t="str">
        <x:v>OLAP</x:v>
      </x:c>
      <x:c r="B214" s="59" t="str">
        <x:v>Reporting Charges</x:v>
      </x:c>
      <x:c r="C214" s="57" t="n">
        <x:v>16</x:v>
      </x:c>
      <x:c r="D214" s="59" t="str">
        <x:v>Payment Status</x:v>
      </x:c>
    </x:row>
    <x:row r="215" ht="15" customHeight="1">
      <x:c r="A215" s="57" t="str">
        <x:v>OLAP</x:v>
      </x:c>
      <x:c r="B215" s="59" t="str">
        <x:v>Reporting Charges</x:v>
      </x:c>
      <x:c r="C215" s="57" t="n">
        <x:v>17</x:v>
      </x:c>
      <x:c r="D215" s="59" t="str">
        <x:v>Days Late</x:v>
      </x:c>
    </x:row>
    <x:row r="216" ht="15" customHeight="1">
      <x:c r="A216" s="57" t="str">
        <x:v>OLAP</x:v>
      </x:c>
      <x:c r="B216" s="59" t="str">
        <x:v>Reporting Charges</x:v>
      </x:c>
      <x:c r="C216" s="57" t="n">
        <x:v>18</x:v>
      </x:c>
      <x:c r="D216" s="59" t="str">
        <x:v>Historical On Time</x:v>
      </x:c>
    </x:row>
    <x:row r="217" ht="15" customHeight="1">
      <x:c r="A217" s="57" t="str">
        <x:v>OLAP</x:v>
      </x:c>
      <x:c r="B217" s="59" t="str">
        <x:v>Reporting Charges</x:v>
      </x:c>
      <x:c r="C217" s="57" t="n">
        <x:v>19</x:v>
      </x:c>
      <x:c r="D217" s="59" t="str">
        <x:v>Historical Late</x:v>
      </x:c>
    </x:row>
    <x:row r="218" ht="15" customHeight="1">
      <x:c r="A218" s="57" t="str">
        <x:v>OLAP</x:v>
      </x:c>
      <x:c r="B218" s="59" t="str">
        <x:v>Reporting Charges</x:v>
      </x:c>
      <x:c r="C218" s="57" t="n">
        <x:v>20</x:v>
      </x:c>
      <x:c r="D218" s="59" t="str">
        <x:v>Borrower Name</x:v>
      </x:c>
    </x:row>
    <x:row r="219" ht="15" customHeight="1">
      <x:c r="A219" s="57" t="str">
        <x:v>OLAP</x:v>
      </x:c>
      <x:c r="B219" s="59" t="str">
        <x:v>Daily Analytics 7 Days</x:v>
      </x:c>
      <x:c r="C219" s="57" t="n">
        <x:v>1</x:v>
      </x:c>
      <x:c r="D219" s="59" t="str">
        <x:v>_RowNumber</x:v>
      </x:c>
    </x:row>
    <x:row r="220" ht="15" customHeight="1">
      <x:c r="A220" s="57" t="str">
        <x:v>OLAP</x:v>
      </x:c>
      <x:c r="B220" s="59" t="str">
        <x:v>Daily Analytics 7 Days</x:v>
      </x:c>
      <x:c r="C220" s="57" t="n">
        <x:v>2</x:v>
      </x:c>
      <x:c r="D220" s="59" t="str">
        <x:v>Row ID</x:v>
      </x:c>
    </x:row>
    <x:row r="221" ht="15" customHeight="1">
      <x:c r="A221" s="57" t="str">
        <x:v>OLAP</x:v>
      </x:c>
      <x:c r="B221" s="59" t="str">
        <x:v>Daily Analytics 7 Days</x:v>
      </x:c>
      <x:c r="C221" s="57" t="n">
        <x:v>3</x:v>
      </x:c>
      <x:c r="D221" s="59" t="str">
        <x:v>Snapshot Date</x:v>
      </x:c>
    </x:row>
    <x:row r="222" ht="15" customHeight="1">
      <x:c r="A222" s="57" t="str">
        <x:v>OLAP</x:v>
      </x:c>
      <x:c r="B222" s="59" t="str">
        <x:v>Daily Analytics 7 Days</x:v>
      </x:c>
      <x:c r="C222" s="57" t="n">
        <x:v>4</x:v>
      </x:c>
      <x:c r="D222" s="59" t="str">
        <x:v>Generated At</x:v>
      </x:c>
    </x:row>
    <x:row r="223" ht="15" customHeight="1">
      <x:c r="A223" s="57" t="str">
        <x:v>OLAP</x:v>
      </x:c>
      <x:c r="B223" s="59" t="str">
        <x:v>Daily Analytics 7 Days</x:v>
      </x:c>
      <x:c r="C223" s="57" t="n">
        <x:v>5</x:v>
      </x:c>
      <x:c r="D223" s="59" t="str">
        <x:v>Model Version</x:v>
      </x:c>
    </x:row>
    <x:row r="224" ht="15" customHeight="1">
      <x:c r="A224" s="57" t="str">
        <x:v>OLAP</x:v>
      </x:c>
      <x:c r="B224" s="59" t="str">
        <x:v>Daily Analytics 7 Days</x:v>
      </x:c>
      <x:c r="C224" s="57" t="n">
        <x:v>6</x:v>
      </x:c>
      <x:c r="D224" s="59" t="str">
        <x:v>Principal Issued</x:v>
      </x:c>
    </x:row>
    <x:row r="225" ht="15" customHeight="1">
      <x:c r="A225" s="57" t="str">
        <x:v>OLAP</x:v>
      </x:c>
      <x:c r="B225" s="59" t="str">
        <x:v>Daily Analytics 7 Days</x:v>
      </x:c>
      <x:c r="C225" s="57" t="n">
        <x:v>7</x:v>
      </x:c>
      <x:c r="D225" s="59" t="str">
        <x:v>Loans Issued</x:v>
      </x:c>
    </x:row>
    <x:row r="226" ht="15" customHeight="1">
      <x:c r="A226" s="57" t="str">
        <x:v>OLAP</x:v>
      </x:c>
      <x:c r="B226" s="59" t="str">
        <x:v>Daily Analytics 7 Days</x:v>
      </x:c>
      <x:c r="C226" s="57" t="n">
        <x:v>8</x:v>
      </x:c>
      <x:c r="D226" s="59" t="str">
        <x:v>Principal Returned</x:v>
      </x:c>
    </x:row>
    <x:row r="227" ht="15" customHeight="1">
      <x:c r="A227" s="57" t="str">
        <x:v>OLAP</x:v>
      </x:c>
      <x:c r="B227" s="59" t="str">
        <x:v>Daily Analytics 7 Days</x:v>
      </x:c>
      <x:c r="C227" s="57" t="n">
        <x:v>9</x:v>
      </x:c>
      <x:c r="D227" s="59" t="str">
        <x:v>Interest Received</x:v>
      </x:c>
    </x:row>
    <x:row r="228" ht="15" customHeight="1">
      <x:c r="A228" s="57" t="str">
        <x:v>OLAP</x:v>
      </x:c>
      <x:c r="B228" s="59" t="str">
        <x:v>Daily Analytics 7 Days</x:v>
      </x:c>
      <x:c r="C228" s="57" t="n">
        <x:v>10</x:v>
      </x:c>
      <x:c r="D228" s="59" t="str">
        <x:v>Repayments Count</x:v>
      </x:c>
    </x:row>
    <x:row r="229" ht="15" customHeight="1">
      <x:c r="A229" s="57" t="str">
        <x:v>OLAP</x:v>
      </x:c>
      <x:c r="B229" s="59" t="str">
        <x:v>Daily Analytics 7 Days</x:v>
      </x:c>
      <x:c r="C229" s="57" t="n">
        <x:v>11</x:v>
      </x:c>
      <x:c r="D229" s="59" t="str">
        <x:v>Outstanding Principal EOD</x:v>
      </x:c>
    </x:row>
    <x:row r="230" ht="15" customHeight="1">
      <x:c r="A230" s="57" t="str">
        <x:v>OLAP</x:v>
      </x:c>
      <x:c r="B230" s="59" t="str">
        <x:v>Daily Analytics 7 Days</x:v>
      </x:c>
      <x:c r="C230" s="57" t="n">
        <x:v>12</x:v>
      </x:c>
      <x:c r="D230" s="59" t="str">
        <x:v>Active Loans EOD</x:v>
      </x:c>
    </x:row>
    <x:row r="231" ht="15" customHeight="1">
      <x:c r="A231" s="57" t="str">
        <x:v>OLAP</x:v>
      </x:c>
      <x:c r="B231" s="59" t="str">
        <x:v>Daily Analytics 7 Days</x:v>
      </x:c>
      <x:c r="C231" s="57" t="n">
        <x:v>13</x:v>
      </x:c>
      <x:c r="D231" s="59" t="str">
        <x:v>Active Borrowers EOD</x:v>
      </x:c>
    </x:row>
    <x:row r="232" ht="15" customHeight="1">
      <x:c r="A232" s="57" t="str">
        <x:v>OLAP</x:v>
      </x:c>
      <x:c r="B232" s="59" t="str">
        <x:v>Daily Analytics 7 Days</x:v>
      </x:c>
      <x:c r="C232" s="57" t="n">
        <x:v>14</x:v>
      </x:c>
      <x:c r="D232" s="59" t="str">
        <x:v>Pending Charges EOD</x:v>
      </x:c>
    </x:row>
    <x:row r="233" ht="15" customHeight="1">
      <x:c r="A233" s="57" t="str">
        <x:v>OLAP</x:v>
      </x:c>
      <x:c r="B233" s="59" t="str">
        <x:v>Daily Analytics 7 Days</x:v>
      </x:c>
      <x:c r="C233" s="57" t="n">
        <x:v>15</x:v>
      </x:c>
      <x:c r="D233" s="59" t="str">
        <x:v>Total Cash Pool EOD</x:v>
      </x:c>
    </x:row>
    <x:row r="234" ht="15" customHeight="1">
      <x:c r="A234" s="57" t="str">
        <x:v>OLAP</x:v>
      </x:c>
      <x:c r="B234" s="59" t="str">
        <x:v>Daily Analytics 7 Days</x:v>
      </x:c>
      <x:c r="C234" s="57" t="n">
        <x:v>16</x:v>
      </x:c>
      <x:c r="D234" s="59" t="str">
        <x:v>Available Cash EOD</x:v>
      </x:c>
    </x:row>
    <x:row r="235" ht="15" customHeight="1">
      <x:c r="A235" s="57" t="str">
        <x:v>OLAP</x:v>
      </x:c>
      <x:c r="B235" s="59" t="str">
        <x:v>Daily Analytics 7 Days</x:v>
      </x:c>
      <x:c r="C235" s="57" t="n">
        <x:v>17</x:v>
      </x:c>
      <x:c r="D235" s="59" t="str">
        <x:v>Unsettled Profit EOD</x:v>
      </x:c>
    </x:row>
    <x:row r="236" ht="15" customHeight="1">
      <x:c r="A236" s="57" t="str">
        <x:v>OLAP</x:v>
      </x:c>
      <x:c r="B236" s="59" t="str">
        <x:v>Daily Analytics 7 Days</x:v>
      </x:c>
      <x:c r="C236" s="57" t="n">
        <x:v>18</x:v>
      </x:c>
      <x:c r="D236" s="59" t="str">
        <x:v>Week</x:v>
      </x:c>
    </x:row>
    <x:row r="237" ht="15" customHeight="1">
      <x:c r="A237" s="57" t="str">
        <x:v>OLAP</x:v>
      </x:c>
      <x:c r="B237" s="59" t="str">
        <x:v>Daily Analytics 7 Days</x:v>
      </x:c>
      <x:c r="C237" s="57" t="n">
        <x:v>19</x:v>
      </x:c>
      <x:c r="D237" s="59" t="str">
        <x:v>Month</x:v>
      </x:c>
    </x:row>
    <x:row r="238" ht="15" customHeight="1">
      <x:c r="A238" s="57" t="str">
        <x:v>OLAP</x:v>
      </x:c>
      <x:c r="B238" s="59" t="str">
        <x:v>Daily Analytics 7 Days</x:v>
      </x:c>
      <x:c r="C238" s="57" t="n">
        <x:v>20</x:v>
      </x:c>
      <x:c r="D238" s="59" t="str">
        <x:v>Daily Capital Employed</x:v>
      </x:c>
    </x:row>
    <x:row r="239" ht="15" customHeight="1">
      <x:c r="A239" s="57" t="str">
        <x:v>OLAP</x:v>
      </x:c>
      <x:c r="B239" s="59" t="str">
        <x:v>Daily Analytics 7 Days</x:v>
      </x:c>
      <x:c r="C239" s="57" t="n">
        <x:v>21</x:v>
      </x:c>
      <x:c r="D239" s="59" t="str">
        <x:v>Daily Capital Yield</x:v>
      </x:c>
    </x:row>
    <x:row r="240" ht="15" customHeight="1">
      <x:c r="A240" s="57" t="str">
        <x:v>OLAP</x:v>
      </x:c>
      <x:c r="B240" s="59" t="str">
        <x:v>Daily Analytics 7 Days</x:v>
      </x:c>
      <x:c r="C240" s="57" t="n">
        <x:v>22</x:v>
      </x:c>
      <x:c r="D240" s="59" t="str">
        <x:v>Portfolio Share Join Key</x:v>
      </x:c>
    </x:row>
    <x:row r="241" ht="15" customHeight="1">
      <x:c r="A241" s="57" t="str">
        <x:v>OLAP</x:v>
      </x:c>
      <x:c r="B241" s="59" t="str">
        <x:v>Daily Analytics 7 Days</x:v>
      </x:c>
      <x:c r="C241" s="57" t="n">
        <x:v>23</x:v>
      </x:c>
      <x:c r="D241" s="59" t="str">
        <x:v>Portfolio Slice</x:v>
      </x:c>
    </x:row>
    <x:row r="242" ht="15" customHeight="1">
      <x:c r="A242" s="57" t="str">
        <x:v>OLAP</x:v>
      </x:c>
      <x:c r="B242" s="59" t="str">
        <x:v>Daily Analytics 30 Days</x:v>
      </x:c>
      <x:c r="C242" s="57" t="n">
        <x:v>1</x:v>
      </x:c>
      <x:c r="D242" s="59" t="str">
        <x:v>_RowNumber</x:v>
      </x:c>
    </x:row>
    <x:row r="243" ht="15" customHeight="1">
      <x:c r="A243" s="57" t="str">
        <x:v>OLAP</x:v>
      </x:c>
      <x:c r="B243" s="59" t="str">
        <x:v>Daily Analytics 30 Days</x:v>
      </x:c>
      <x:c r="C243" s="57" t="n">
        <x:v>2</x:v>
      </x:c>
      <x:c r="D243" s="59" t="str">
        <x:v>Row ID</x:v>
      </x:c>
    </x:row>
    <x:row r="244" ht="15" customHeight="1">
      <x:c r="A244" s="57" t="str">
        <x:v>OLAP</x:v>
      </x:c>
      <x:c r="B244" s="59" t="str">
        <x:v>Daily Analytics 30 Days</x:v>
      </x:c>
      <x:c r="C244" s="57" t="n">
        <x:v>3</x:v>
      </x:c>
      <x:c r="D244" s="59" t="str">
        <x:v>Snapshot Date</x:v>
      </x:c>
    </x:row>
    <x:row r="245" ht="15" customHeight="1">
      <x:c r="A245" s="57" t="str">
        <x:v>OLAP</x:v>
      </x:c>
      <x:c r="B245" s="59" t="str">
        <x:v>Daily Analytics 30 Days</x:v>
      </x:c>
      <x:c r="C245" s="57" t="n">
        <x:v>4</x:v>
      </x:c>
      <x:c r="D245" s="59" t="str">
        <x:v>Generated At</x:v>
      </x:c>
    </x:row>
    <x:row r="246" ht="15" customHeight="1">
      <x:c r="A246" s="57" t="str">
        <x:v>OLAP</x:v>
      </x:c>
      <x:c r="B246" s="59" t="str">
        <x:v>Daily Analytics 30 Days</x:v>
      </x:c>
      <x:c r="C246" s="57" t="n">
        <x:v>5</x:v>
      </x:c>
      <x:c r="D246" s="59" t="str">
        <x:v>Model Version</x:v>
      </x:c>
    </x:row>
    <x:row r="247" ht="15" customHeight="1">
      <x:c r="A247" s="57" t="str">
        <x:v>OLAP</x:v>
      </x:c>
      <x:c r="B247" s="59" t="str">
        <x:v>Daily Analytics 30 Days</x:v>
      </x:c>
      <x:c r="C247" s="57" t="n">
        <x:v>6</x:v>
      </x:c>
      <x:c r="D247" s="59" t="str">
        <x:v>Principal Issued</x:v>
      </x:c>
    </x:row>
    <x:row r="248" ht="15" customHeight="1">
      <x:c r="A248" s="57" t="str">
        <x:v>OLAP</x:v>
      </x:c>
      <x:c r="B248" s="59" t="str">
        <x:v>Daily Analytics 30 Days</x:v>
      </x:c>
      <x:c r="C248" s="57" t="n">
        <x:v>7</x:v>
      </x:c>
      <x:c r="D248" s="59" t="str">
        <x:v>Loans Issued</x:v>
      </x:c>
    </x:row>
    <x:row r="249" ht="15" customHeight="1">
      <x:c r="A249" s="57" t="str">
        <x:v>OLAP</x:v>
      </x:c>
      <x:c r="B249" s="59" t="str">
        <x:v>Daily Analytics 30 Days</x:v>
      </x:c>
      <x:c r="C249" s="57" t="n">
        <x:v>8</x:v>
      </x:c>
      <x:c r="D249" s="59" t="str">
        <x:v>Principal Returned</x:v>
      </x:c>
    </x:row>
    <x:row r="250" ht="15" customHeight="1">
      <x:c r="A250" s="57" t="str">
        <x:v>OLAP</x:v>
      </x:c>
      <x:c r="B250" s="59" t="str">
        <x:v>Daily Analytics 30 Days</x:v>
      </x:c>
      <x:c r="C250" s="57" t="n">
        <x:v>9</x:v>
      </x:c>
      <x:c r="D250" s="59" t="str">
        <x:v>Interest Received</x:v>
      </x:c>
    </x:row>
    <x:row r="251" ht="15" customHeight="1">
      <x:c r="A251" s="57" t="str">
        <x:v>OLAP</x:v>
      </x:c>
      <x:c r="B251" s="59" t="str">
        <x:v>Daily Analytics 30 Days</x:v>
      </x:c>
      <x:c r="C251" s="57" t="n">
        <x:v>10</x:v>
      </x:c>
      <x:c r="D251" s="59" t="str">
        <x:v>Repayments Count</x:v>
      </x:c>
    </x:row>
    <x:row r="252" ht="15" customHeight="1">
      <x:c r="A252" s="57" t="str">
        <x:v>OLAP</x:v>
      </x:c>
      <x:c r="B252" s="59" t="str">
        <x:v>Daily Analytics 30 Days</x:v>
      </x:c>
      <x:c r="C252" s="57" t="n">
        <x:v>11</x:v>
      </x:c>
      <x:c r="D252" s="59" t="str">
        <x:v>Outstanding Principal EOD</x:v>
      </x:c>
    </x:row>
    <x:row r="253" ht="15" customHeight="1">
      <x:c r="A253" s="57" t="str">
        <x:v>OLAP</x:v>
      </x:c>
      <x:c r="B253" s="59" t="str">
        <x:v>Daily Analytics 30 Days</x:v>
      </x:c>
      <x:c r="C253" s="57" t="n">
        <x:v>12</x:v>
      </x:c>
      <x:c r="D253" s="59" t="str">
        <x:v>Active Loans EOD</x:v>
      </x:c>
    </x:row>
    <x:row r="254" ht="15" customHeight="1">
      <x:c r="A254" s="57" t="str">
        <x:v>OLAP</x:v>
      </x:c>
      <x:c r="B254" s="59" t="str">
        <x:v>Daily Analytics 30 Days</x:v>
      </x:c>
      <x:c r="C254" s="57" t="n">
        <x:v>13</x:v>
      </x:c>
      <x:c r="D254" s="59" t="str">
        <x:v>Active Borrowers EOD</x:v>
      </x:c>
    </x:row>
    <x:row r="255" ht="15" customHeight="1">
      <x:c r="A255" s="57" t="str">
        <x:v>OLAP</x:v>
      </x:c>
      <x:c r="B255" s="59" t="str">
        <x:v>Daily Analytics 30 Days</x:v>
      </x:c>
      <x:c r="C255" s="57" t="n">
        <x:v>14</x:v>
      </x:c>
      <x:c r="D255" s="59" t="str">
        <x:v>Pending Charges EOD</x:v>
      </x:c>
    </x:row>
    <x:row r="256" ht="15" customHeight="1">
      <x:c r="A256" s="57" t="str">
        <x:v>OLAP</x:v>
      </x:c>
      <x:c r="B256" s="59" t="str">
        <x:v>Daily Analytics 30 Days</x:v>
      </x:c>
      <x:c r="C256" s="57" t="n">
        <x:v>15</x:v>
      </x:c>
      <x:c r="D256" s="59" t="str">
        <x:v>Total Cash Pool EOD</x:v>
      </x:c>
    </x:row>
    <x:row r="257" ht="15" customHeight="1">
      <x:c r="A257" s="57" t="str">
        <x:v>OLAP</x:v>
      </x:c>
      <x:c r="B257" s="59" t="str">
        <x:v>Daily Analytics 30 Days</x:v>
      </x:c>
      <x:c r="C257" s="57" t="n">
        <x:v>16</x:v>
      </x:c>
      <x:c r="D257" s="59" t="str">
        <x:v>Available Cash EOD</x:v>
      </x:c>
    </x:row>
    <x:row r="258" ht="15" customHeight="1">
      <x:c r="A258" s="57" t="str">
        <x:v>OLAP</x:v>
      </x:c>
      <x:c r="B258" s="59" t="str">
        <x:v>Daily Analytics 30 Days</x:v>
      </x:c>
      <x:c r="C258" s="57" t="n">
        <x:v>17</x:v>
      </x:c>
      <x:c r="D258" s="59" t="str">
        <x:v>Unsettled Profit EOD</x:v>
      </x:c>
    </x:row>
    <x:row r="259" ht="15" customHeight="1">
      <x:c r="A259" s="57" t="str">
        <x:v>OLAP</x:v>
      </x:c>
      <x:c r="B259" s="59" t="str">
        <x:v>Daily Analytics 30 Days</x:v>
      </x:c>
      <x:c r="C259" s="57" t="n">
        <x:v>18</x:v>
      </x:c>
      <x:c r="D259" s="59" t="str">
        <x:v>Week</x:v>
      </x:c>
    </x:row>
    <x:row r="260" ht="15" customHeight="1">
      <x:c r="A260" s="57" t="str">
        <x:v>OLAP</x:v>
      </x:c>
      <x:c r="B260" s="59" t="str">
        <x:v>Daily Analytics 30 Days</x:v>
      </x:c>
      <x:c r="C260" s="57" t="n">
        <x:v>19</x:v>
      </x:c>
      <x:c r="D260" s="59" t="str">
        <x:v>Month</x:v>
      </x:c>
    </x:row>
    <x:row r="261" ht="15" customHeight="1">
      <x:c r="A261" s="57" t="str">
        <x:v>OLAP</x:v>
      </x:c>
      <x:c r="B261" s="59" t="str">
        <x:v>Daily Analytics 30 Days</x:v>
      </x:c>
      <x:c r="C261" s="57" t="n">
        <x:v>20</x:v>
      </x:c>
      <x:c r="D261" s="59" t="str">
        <x:v>Daily Capital Employed</x:v>
      </x:c>
    </x:row>
    <x:row r="262" ht="15" customHeight="1">
      <x:c r="A262" s="57" t="str">
        <x:v>OLAP</x:v>
      </x:c>
      <x:c r="B262" s="59" t="str">
        <x:v>Daily Analytics 30 Days</x:v>
      </x:c>
      <x:c r="C262" s="57" t="n">
        <x:v>21</x:v>
      </x:c>
      <x:c r="D262" s="59" t="str">
        <x:v>Daily Capital Yield</x:v>
      </x:c>
    </x:row>
    <x:row r="263" ht="15" customHeight="1">
      <x:c r="A263" s="57" t="str">
        <x:v>OLAP</x:v>
      </x:c>
      <x:c r="B263" s="59" t="str">
        <x:v>Daily Analytics 30 Days</x:v>
      </x:c>
      <x:c r="C263" s="57" t="n">
        <x:v>22</x:v>
      </x:c>
      <x:c r="D263" s="59" t="str">
        <x:v>Portfolio Share Join Key</x:v>
      </x:c>
    </x:row>
    <x:row r="264" ht="15" customHeight="1">
      <x:c r="A264" s="57" t="str">
        <x:v>OLAP</x:v>
      </x:c>
      <x:c r="B264" s="59" t="str">
        <x:v>Daily Analytics 30 Days</x:v>
      </x:c>
      <x:c r="C264" s="57" t="n">
        <x:v>23</x:v>
      </x:c>
      <x:c r="D264" s="59" t="str">
        <x:v>Portfolio Slice</x:v>
      </x:c>
    </x:row>
    <x:row r="265" ht="15" customHeight="1">
      <x:c r="A265" s="57" t="str">
        <x:v>OLAP</x:v>
      </x:c>
      <x:c r="B265" s="59" t="str">
        <x:v>Daily Analytics 90 Days</x:v>
      </x:c>
      <x:c r="C265" s="57" t="n">
        <x:v>1</x:v>
      </x:c>
      <x:c r="D265" s="59" t="str">
        <x:v>_RowNumber</x:v>
      </x:c>
    </x:row>
    <x:row r="266" ht="15" customHeight="1">
      <x:c r="A266" s="57" t="str">
        <x:v>OLAP</x:v>
      </x:c>
      <x:c r="B266" s="59" t="str">
        <x:v>Daily Analytics 90 Days</x:v>
      </x:c>
      <x:c r="C266" s="57" t="n">
        <x:v>2</x:v>
      </x:c>
      <x:c r="D266" s="59" t="str">
        <x:v>Row ID</x:v>
      </x:c>
    </x:row>
    <x:row r="267" ht="15" customHeight="1">
      <x:c r="A267" s="57" t="str">
        <x:v>OLAP</x:v>
      </x:c>
      <x:c r="B267" s="59" t="str">
        <x:v>Daily Analytics 90 Days</x:v>
      </x:c>
      <x:c r="C267" s="57" t="n">
        <x:v>3</x:v>
      </x:c>
      <x:c r="D267" s="59" t="str">
        <x:v>Snapshot Date</x:v>
      </x:c>
    </x:row>
    <x:row r="268" ht="15" customHeight="1">
      <x:c r="A268" s="57" t="str">
        <x:v>OLAP</x:v>
      </x:c>
      <x:c r="B268" s="59" t="str">
        <x:v>Daily Analytics 90 Days</x:v>
      </x:c>
      <x:c r="C268" s="57" t="n">
        <x:v>4</x:v>
      </x:c>
      <x:c r="D268" s="59" t="str">
        <x:v>Generated At</x:v>
      </x:c>
    </x:row>
    <x:row r="269" ht="15" customHeight="1">
      <x:c r="A269" s="57" t="str">
        <x:v>OLAP</x:v>
      </x:c>
      <x:c r="B269" s="59" t="str">
        <x:v>Daily Analytics 90 Days</x:v>
      </x:c>
      <x:c r="C269" s="57" t="n">
        <x:v>5</x:v>
      </x:c>
      <x:c r="D269" s="59" t="str">
        <x:v>Model Version</x:v>
      </x:c>
    </x:row>
    <x:row r="270" ht="15" customHeight="1">
      <x:c r="A270" s="57" t="str">
        <x:v>OLAP</x:v>
      </x:c>
      <x:c r="B270" s="59" t="str">
        <x:v>Daily Analytics 90 Days</x:v>
      </x:c>
      <x:c r="C270" s="57" t="n">
        <x:v>6</x:v>
      </x:c>
      <x:c r="D270" s="59" t="str">
        <x:v>Principal Issued</x:v>
      </x:c>
    </x:row>
    <x:row r="271" ht="15" customHeight="1">
      <x:c r="A271" s="57" t="str">
        <x:v>OLAP</x:v>
      </x:c>
      <x:c r="B271" s="59" t="str">
        <x:v>Daily Analytics 90 Days</x:v>
      </x:c>
      <x:c r="C271" s="57" t="n">
        <x:v>7</x:v>
      </x:c>
      <x:c r="D271" s="59" t="str">
        <x:v>Loans Issued</x:v>
      </x:c>
    </x:row>
    <x:row r="272" ht="15" customHeight="1">
      <x:c r="A272" s="57" t="str">
        <x:v>OLAP</x:v>
      </x:c>
      <x:c r="B272" s="59" t="str">
        <x:v>Daily Analytics 90 Days</x:v>
      </x:c>
      <x:c r="C272" s="57" t="n">
        <x:v>8</x:v>
      </x:c>
      <x:c r="D272" s="59" t="str">
        <x:v>Principal Returned</x:v>
      </x:c>
    </x:row>
    <x:row r="273" ht="15" customHeight="1">
      <x:c r="A273" s="57" t="str">
        <x:v>OLAP</x:v>
      </x:c>
      <x:c r="B273" s="59" t="str">
        <x:v>Daily Analytics 90 Days</x:v>
      </x:c>
      <x:c r="C273" s="57" t="n">
        <x:v>9</x:v>
      </x:c>
      <x:c r="D273" s="59" t="str">
        <x:v>Interest Received</x:v>
      </x:c>
    </x:row>
    <x:row r="274" ht="15" customHeight="1">
      <x:c r="A274" s="57" t="str">
        <x:v>OLAP</x:v>
      </x:c>
      <x:c r="B274" s="59" t="str">
        <x:v>Daily Analytics 90 Days</x:v>
      </x:c>
      <x:c r="C274" s="57" t="n">
        <x:v>10</x:v>
      </x:c>
      <x:c r="D274" s="59" t="str">
        <x:v>Repayments Count</x:v>
      </x:c>
    </x:row>
    <x:row r="275" ht="15" customHeight="1">
      <x:c r="A275" s="57" t="str">
        <x:v>OLAP</x:v>
      </x:c>
      <x:c r="B275" s="59" t="str">
        <x:v>Daily Analytics 90 Days</x:v>
      </x:c>
      <x:c r="C275" s="57" t="n">
        <x:v>11</x:v>
      </x:c>
      <x:c r="D275" s="59" t="str">
        <x:v>Outstanding Principal EOD</x:v>
      </x:c>
    </x:row>
    <x:row r="276" ht="15" customHeight="1">
      <x:c r="A276" s="57" t="str">
        <x:v>OLAP</x:v>
      </x:c>
      <x:c r="B276" s="59" t="str">
        <x:v>Daily Analytics 90 Days</x:v>
      </x:c>
      <x:c r="C276" s="57" t="n">
        <x:v>12</x:v>
      </x:c>
      <x:c r="D276" s="59" t="str">
        <x:v>Active Loans EOD</x:v>
      </x:c>
    </x:row>
    <x:row r="277" ht="15" customHeight="1">
      <x:c r="A277" s="57" t="str">
        <x:v>OLAP</x:v>
      </x:c>
      <x:c r="B277" s="59" t="str">
        <x:v>Daily Analytics 90 Days</x:v>
      </x:c>
      <x:c r="C277" s="57" t="n">
        <x:v>13</x:v>
      </x:c>
      <x:c r="D277" s="59" t="str">
        <x:v>Active Borrowers EOD</x:v>
      </x:c>
    </x:row>
    <x:row r="278" ht="15" customHeight="1">
      <x:c r="A278" s="57" t="str">
        <x:v>OLAP</x:v>
      </x:c>
      <x:c r="B278" s="59" t="str">
        <x:v>Daily Analytics 90 Days</x:v>
      </x:c>
      <x:c r="C278" s="57" t="n">
        <x:v>14</x:v>
      </x:c>
      <x:c r="D278" s="59" t="str">
        <x:v>Pending Charges EOD</x:v>
      </x:c>
    </x:row>
    <x:row r="279" ht="15" customHeight="1">
      <x:c r="A279" s="57" t="str">
        <x:v>OLAP</x:v>
      </x:c>
      <x:c r="B279" s="59" t="str">
        <x:v>Daily Analytics 90 Days</x:v>
      </x:c>
      <x:c r="C279" s="57" t="n">
        <x:v>15</x:v>
      </x:c>
      <x:c r="D279" s="59" t="str">
        <x:v>Total Cash Pool EOD</x:v>
      </x:c>
    </x:row>
    <x:row r="280" ht="15" customHeight="1">
      <x:c r="A280" s="57" t="str">
        <x:v>OLAP</x:v>
      </x:c>
      <x:c r="B280" s="59" t="str">
        <x:v>Daily Analytics 90 Days</x:v>
      </x:c>
      <x:c r="C280" s="57" t="n">
        <x:v>16</x:v>
      </x:c>
      <x:c r="D280" s="59" t="str">
        <x:v>Available Cash EOD</x:v>
      </x:c>
    </x:row>
    <x:row r="281" ht="15" customHeight="1">
      <x:c r="A281" s="57" t="str">
        <x:v>OLAP</x:v>
      </x:c>
      <x:c r="B281" s="59" t="str">
        <x:v>Daily Analytics 90 Days</x:v>
      </x:c>
      <x:c r="C281" s="57" t="n">
        <x:v>17</x:v>
      </x:c>
      <x:c r="D281" s="59" t="str">
        <x:v>Unsettled Profit EOD</x:v>
      </x:c>
    </x:row>
    <x:row r="282" ht="15" customHeight="1">
      <x:c r="A282" s="57" t="str">
        <x:v>OLAP</x:v>
      </x:c>
      <x:c r="B282" s="59" t="str">
        <x:v>Daily Analytics 90 Days</x:v>
      </x:c>
      <x:c r="C282" s="57" t="n">
        <x:v>18</x:v>
      </x:c>
      <x:c r="D282" s="59" t="str">
        <x:v>Week</x:v>
      </x:c>
    </x:row>
    <x:row r="283" ht="15" customHeight="1">
      <x:c r="A283" s="57" t="str">
        <x:v>OLAP</x:v>
      </x:c>
      <x:c r="B283" s="59" t="str">
        <x:v>Daily Analytics 90 Days</x:v>
      </x:c>
      <x:c r="C283" s="57" t="n">
        <x:v>19</x:v>
      </x:c>
      <x:c r="D283" s="59" t="str">
        <x:v>Month</x:v>
      </x:c>
    </x:row>
    <x:row r="284" ht="15" customHeight="1">
      <x:c r="A284" s="57" t="str">
        <x:v>OLAP</x:v>
      </x:c>
      <x:c r="B284" s="59" t="str">
        <x:v>Daily Analytics 90 Days</x:v>
      </x:c>
      <x:c r="C284" s="57" t="n">
        <x:v>20</x:v>
      </x:c>
      <x:c r="D284" s="59" t="str">
        <x:v>Daily Capital Employed</x:v>
      </x:c>
    </x:row>
    <x:row r="285" ht="15" customHeight="1">
      <x:c r="A285" s="57" t="str">
        <x:v>OLAP</x:v>
      </x:c>
      <x:c r="B285" s="59" t="str">
        <x:v>Daily Analytics 90 Days</x:v>
      </x:c>
      <x:c r="C285" s="57" t="n">
        <x:v>21</x:v>
      </x:c>
      <x:c r="D285" s="59" t="str">
        <x:v>Daily Capital Yield</x:v>
      </x:c>
    </x:row>
    <x:row r="286" ht="15" customHeight="1">
      <x:c r="A286" s="57" t="str">
        <x:v>OLAP</x:v>
      </x:c>
      <x:c r="B286" s="59" t="str">
        <x:v>Daily Analytics 90 Days</x:v>
      </x:c>
      <x:c r="C286" s="57" t="n">
        <x:v>22</x:v>
      </x:c>
      <x:c r="D286" s="59" t="str">
        <x:v>Portfolio Share Join Key</x:v>
      </x:c>
    </x:row>
    <x:row r="287" ht="15" customHeight="1">
      <x:c r="A287" s="57" t="str">
        <x:v>OLAP</x:v>
      </x:c>
      <x:c r="B287" s="59" t="str">
        <x:v>Daily Analytics 90 Days</x:v>
      </x:c>
      <x:c r="C287" s="57" t="n">
        <x:v>23</x:v>
      </x:c>
      <x:c r="D287" s="59" t="str">
        <x:v>Portfolio Slice</x:v>
      </x:c>
    </x:row>
    <x:row r="288" ht="15" customHeight="1">
      <x:c r="A288" s="57" t="str">
        <x:v>OLAP</x:v>
      </x:c>
      <x:c r="B288" s="59" t="str">
        <x:v>Reporting Daily Analytics</x:v>
      </x:c>
      <x:c r="C288" s="57" t="n">
        <x:v>1</x:v>
      </x:c>
      <x:c r="D288" s="59" t="str">
        <x:v>_RowNumber</x:v>
      </x:c>
    </x:row>
    <x:row r="289" ht="15" customHeight="1">
      <x:c r="A289" s="57" t="str">
        <x:v>OLAP</x:v>
      </x:c>
      <x:c r="B289" s="59" t="str">
        <x:v>Reporting Daily Analytics</x:v>
      </x:c>
      <x:c r="C289" s="57" t="n">
        <x:v>2</x:v>
      </x:c>
      <x:c r="D289" s="59" t="str">
        <x:v>Row ID</x:v>
      </x:c>
    </x:row>
    <x:row r="290" ht="15" customHeight="1">
      <x:c r="A290" s="57" t="str">
        <x:v>OLAP</x:v>
      </x:c>
      <x:c r="B290" s="59" t="str">
        <x:v>Reporting Daily Analytics</x:v>
      </x:c>
      <x:c r="C290" s="57" t="n">
        <x:v>3</x:v>
      </x:c>
      <x:c r="D290" s="59" t="str">
        <x:v>Snapshot Date</x:v>
      </x:c>
    </x:row>
    <x:row r="291" ht="15" customHeight="1">
      <x:c r="A291" s="57" t="str">
        <x:v>OLAP</x:v>
      </x:c>
      <x:c r="B291" s="59" t="str">
        <x:v>Reporting Daily Analytics</x:v>
      </x:c>
      <x:c r="C291" s="57" t="n">
        <x:v>4</x:v>
      </x:c>
      <x:c r="D291" s="59" t="str">
        <x:v>Principal Issued</x:v>
      </x:c>
    </x:row>
    <x:row r="292" ht="15" customHeight="1">
      <x:c r="A292" s="57" t="str">
        <x:v>OLAP</x:v>
      </x:c>
      <x:c r="B292" s="59" t="str">
        <x:v>Reporting Daily Analytics</x:v>
      </x:c>
      <x:c r="C292" s="57" t="n">
        <x:v>5</x:v>
      </x:c>
      <x:c r="D292" s="59" t="str">
        <x:v>Principal Returned</x:v>
      </x:c>
    </x:row>
    <x:row r="293" ht="15" customHeight="1">
      <x:c r="A293" s="57" t="str">
        <x:v>OLAP</x:v>
      </x:c>
      <x:c r="B293" s="59" t="str">
        <x:v>Reporting Daily Analytics</x:v>
      </x:c>
      <x:c r="C293" s="57" t="n">
        <x:v>6</x:v>
      </x:c>
      <x:c r="D293" s="59" t="str">
        <x:v>Interest Received</x:v>
      </x:c>
    </x:row>
    <x:row r="294" ht="15" customHeight="1">
      <x:c r="A294" s="57" t="str">
        <x:v>OLAP</x:v>
      </x:c>
      <x:c r="B294" s="59" t="str">
        <x:v>Reporting Daily Analytics</x:v>
      </x:c>
      <x:c r="C294" s="57" t="n">
        <x:v>7</x:v>
      </x:c>
      <x:c r="D294" s="59" t="str">
        <x:v>Outstanding Principal EOD</x:v>
      </x:c>
    </x:row>
    <x:row r="295" ht="15" customHeight="1">
      <x:c r="A295" s="57" t="str">
        <x:v>OLAP</x:v>
      </x:c>
      <x:c r="B295" s="59" t="str">
        <x:v>Reporting Daily Analytics</x:v>
      </x:c>
      <x:c r="C295" s="57" t="n">
        <x:v>8</x:v>
      </x:c>
      <x:c r="D295" s="59" t="str">
        <x:v>Active Loans EOD</x:v>
      </x:c>
    </x:row>
    <x:row r="296" ht="15" customHeight="1">
      <x:c r="A296" s="57" t="str">
        <x:v>OLAP</x:v>
      </x:c>
      <x:c r="B296" s="59" t="str">
        <x:v>Reporting Daily Analytics</x:v>
      </x:c>
      <x:c r="C296" s="57" t="n">
        <x:v>9</x:v>
      </x:c>
      <x:c r="D296" s="59" t="str">
        <x:v>Active Borrowers EOD</x:v>
      </x:c>
    </x:row>
    <x:row r="297" ht="15" customHeight="1">
      <x:c r="A297" s="57" t="str">
        <x:v>OLAP</x:v>
      </x:c>
      <x:c r="B297" s="59" t="str">
        <x:v>Reporting Daily Analytics</x:v>
      </x:c>
      <x:c r="C297" s="57" t="n">
        <x:v>10</x:v>
      </x:c>
      <x:c r="D297" s="59" t="str">
        <x:v>Pending Charges EOD</x:v>
      </x:c>
    </x:row>
    <x:row r="298" ht="15" customHeight="1">
      <x:c r="A298" s="57" t="str">
        <x:v>OLAP</x:v>
      </x:c>
      <x:c r="B298" s="59" t="str">
        <x:v>Reporting Daily Analytics</x:v>
      </x:c>
      <x:c r="C298" s="57" t="n">
        <x:v>11</x:v>
      </x:c>
      <x:c r="D298" s="59" t="str">
        <x:v>Daily Capital Yield</x:v>
      </x:c>
    </x:row>
    <x:row r="299" ht="15" customHeight="1">
      <x:c r="A299" s="57" t="str">
        <x:v>OLAP</x:v>
      </x:c>
      <x:c r="B299" s="59" t="str">
        <x:v>Reporting Daily Analytics</x:v>
      </x:c>
      <x:c r="C299" s="57" t="n">
        <x:v>12</x:v>
      </x:c>
      <x:c r="D299" s="59" t="str">
        <x:v>Portfolio Share Join Key</x:v>
      </x:c>
    </x:row>
    <x:row r="300" ht="15" customHeight="1">
      <x:c r="A300" s="57" t="str">
        <x:v>OLAP</x:v>
      </x:c>
      <x:c r="B300" s="59" t="str">
        <x:v>Reporting Daily Analytics</x:v>
      </x:c>
      <x:c r="C300" s="57" t="n">
        <x:v>13</x:v>
      </x:c>
      <x:c r="D300" s="59" t="str">
        <x:v>Portfolio Slice</x:v>
      </x:c>
    </x:row>
    <x:row r="301" ht="15" customHeight="1">
      <x:c r="A301" s="57" t="str">
        <x:v>OLAP</x:v>
      </x:c>
      <x:c r="B301" s="59" t="str">
        <x:v>Reporting Loans</x:v>
      </x:c>
      <x:c r="C301" s="57" t="n">
        <x:v>1</x:v>
      </x:c>
      <x:c r="D301" s="59" t="str">
        <x:v>_RowNumber</x:v>
      </x:c>
    </x:row>
    <x:row r="302" ht="15" customHeight="1">
      <x:c r="A302" s="57" t="str">
        <x:v>OLAP</x:v>
      </x:c>
      <x:c r="B302" s="59" t="str">
        <x:v>Reporting Loans</x:v>
      </x:c>
      <x:c r="C302" s="57" t="n">
        <x:v>2</x:v>
      </x:c>
      <x:c r="D302" s="59" t="str">
        <x:v>Row ID</x:v>
      </x:c>
    </x:row>
    <x:row r="303" ht="15" customHeight="1">
      <x:c r="A303" s="57" t="str">
        <x:v>OLAP</x:v>
      </x:c>
      <x:c r="B303" s="59" t="str">
        <x:v>Reporting Loans</x:v>
      </x:c>
      <x:c r="C303" s="57" t="n">
        <x:v>3</x:v>
      </x:c>
      <x:c r="D303" s="59" t="str">
        <x:v>Loan Date</x:v>
      </x:c>
    </x:row>
    <x:row r="304" ht="15" customHeight="1">
      <x:c r="A304" s="57" t="str">
        <x:v>OLAP</x:v>
      </x:c>
      <x:c r="B304" s="59" t="str">
        <x:v>Reporting Loans</x:v>
      </x:c>
      <x:c r="C304" s="57" t="n">
        <x:v>4</x:v>
      </x:c>
      <x:c r="D304" s="59" t="str">
        <x:v>Close Date</x:v>
      </x:c>
    </x:row>
    <x:row r="305" ht="15" customHeight="1">
      <x:c r="A305" s="57" t="str">
        <x:v>OLAP</x:v>
      </x:c>
      <x:c r="B305" s="59" t="str">
        <x:v>Reporting Loans</x:v>
      </x:c>
      <x:c r="C305" s="57" t="n">
        <x:v>5</x:v>
      </x:c>
      <x:c r="D305" s="59" t="str">
        <x:v>Principal Amount</x:v>
      </x:c>
    </x:row>
    <x:row r="306" ht="15" customHeight="1">
      <x:c r="A306" s="57" t="str">
        <x:v>OLAP</x:v>
      </x:c>
      <x:c r="B306" s="59" t="str">
        <x:v>Reporting Loans</x:v>
      </x:c>
      <x:c r="C306" s="57" t="n">
        <x:v>6</x:v>
      </x:c>
      <x:c r="D306" s="59" t="str">
        <x:v>Due Date</x:v>
      </x:c>
    </x:row>
    <x:row r="307" ht="15" customHeight="1">
      <x:c r="A307" s="57" t="str">
        <x:v>OLAP</x:v>
      </x:c>
      <x:c r="B307" s="59" t="str">
        <x:v>Reporting Loans</x:v>
      </x:c>
      <x:c r="C307" s="57" t="n">
        <x:v>7</x:v>
      </x:c>
      <x:c r="D307" s="59" t="str">
        <x:v>Ref Borrowers</x:v>
      </x:c>
    </x:row>
    <x:row r="308" ht="15" customHeight="1">
      <x:c r="A308" s="57" t="str">
        <x:v>OLAP</x:v>
      </x:c>
      <x:c r="B308" s="59" t="str">
        <x:v>Reporting Loans</x:v>
      </x:c>
      <x:c r="C308" s="57" t="n">
        <x:v>8</x:v>
      </x:c>
      <x:c r="D308" s="59" t="str">
        <x:v>Total Interest Received</x:v>
      </x:c>
    </x:row>
    <x:row r="309" ht="15" customHeight="1">
      <x:c r="A309" s="57" t="str">
        <x:v>OLAP</x:v>
      </x:c>
      <x:c r="B309" s="59" t="str">
        <x:v>Reporting Loans</x:v>
      </x:c>
      <x:c r="C309" s="57" t="n">
        <x:v>9</x:v>
      </x:c>
      <x:c r="D309" s="59" t="str">
        <x:v>Total Principal Received</x:v>
      </x:c>
    </x:row>
    <x:row r="310" ht="15" customHeight="1">
      <x:c r="A310" s="57" t="str">
        <x:v>OLAP</x:v>
      </x:c>
      <x:c r="B310" s="59" t="str">
        <x:v>Reporting Loans</x:v>
      </x:c>
      <x:c r="C310" s="57" t="n">
        <x:v>10</x:v>
      </x:c>
      <x:c r="D310" s="59" t="str">
        <x:v>Outstanding Principal</x:v>
      </x:c>
    </x:row>
    <x:row r="311" ht="15" customHeight="1">
      <x:c r="A311" s="57" t="str">
        <x:v>OLAP</x:v>
      </x:c>
      <x:c r="B311" s="59" t="str">
        <x:v>Reporting Loans</x:v>
      </x:c>
      <x:c r="C311" s="57" t="n">
        <x:v>11</x:v>
      </x:c>
      <x:c r="D311" s="59" t="str">
        <x:v>Total Amount Received</x:v>
      </x:c>
    </x:row>
    <x:row r="312" ht="15" customHeight="1">
      <x:c r="A312" s="57" t="str">
        <x:v>OLAP</x:v>
      </x:c>
      <x:c r="B312" s="59" t="str">
        <x:v>Reporting Loans</x:v>
      </x:c>
      <x:c r="C312" s="57" t="n">
        <x:v>12</x:v>
      </x:c>
      <x:c r="D312" s="59" t="str">
        <x:v>Loan Status TE</x:v>
      </x:c>
    </x:row>
    <x:row r="313" ht="15" customHeight="1">
      <x:c r="A313" s="57" t="str">
        <x:v>OLAP</x:v>
      </x:c>
      <x:c r="B313" s="59" t="str">
        <x:v>Reporting Loans</x:v>
      </x:c>
      <x:c r="C313" s="57" t="n">
        <x:v>13</x:v>
      </x:c>
      <x:c r="D313" s="59" t="str">
        <x:v>Loan Age Bucket</x:v>
      </x:c>
    </x:row>
    <x:row r="314" ht="15" customHeight="1">
      <x:c r="A314" s="57" t="str">
        <x:v>OLAP</x:v>
      </x:c>
      <x:c r="B314" s="59" t="str">
        <x:v>Reporting Loans</x:v>
      </x:c>
      <x:c r="C314" s="57" t="n">
        <x:v>14</x:v>
      </x:c>
      <x:c r="D314" s="59" t="str">
        <x:v>Loan Type TE</x:v>
      </x:c>
    </x:row>
    <x:row r="315" ht="15" customHeight="1">
      <x:c r="A315" s="57" t="str">
        <x:v>OLAP</x:v>
      </x:c>
      <x:c r="B315" s="59" t="str">
        <x:v>Reporting Loans</x:v>
      </x:c>
      <x:c r="C315" s="57" t="n">
        <x:v>15</x:v>
      </x:c>
      <x:c r="D315" s="59" t="str">
        <x:v>Loan Status</x:v>
      </x:c>
    </x:row>
    <x:row r="316" ht="15" customHeight="1">
      <x:c r="A316" s="57" t="str">
        <x:v>OLAP</x:v>
      </x:c>
      <x:c r="B316" s="59" t="str">
        <x:v>Reporting Loans</x:v>
      </x:c>
      <x:c r="C316" s="57" t="n">
        <x:v>16</x:v>
      </x:c>
      <x:c r="D316" s="59" t="str">
        <x:v>Loan Type</x:v>
      </x:c>
    </x:row>
    <x:row r="317" ht="15" customHeight="1">
      <x:c r="A317" s="57" t="str">
        <x:v>OLAP</x:v>
      </x:c>
      <x:c r="B317" s="59" t="str">
        <x:v>Reporting Loans</x:v>
      </x:c>
      <x:c r="C317" s="57" t="n">
        <x:v>17</x:v>
      </x:c>
      <x:c r="D317" s="59" t="str">
        <x:v>Current Daily Interest</x:v>
      </x:c>
    </x:row>
    <x:row r="318" ht="15" customHeight="1">
      <x:c r="A318" s="57" t="str">
        <x:v>OLAP</x:v>
      </x:c>
      <x:c r="B318" s="59" t="str">
        <x:v>Reporting Loans</x:v>
      </x:c>
      <x:c r="C318" s="57" t="n">
        <x:v>18</x:v>
      </x:c>
      <x:c r="D318" s="59" t="str">
        <x:v>Fixed Interest</x:v>
      </x:c>
    </x:row>
    <x:row r="319" ht="15" customHeight="1">
      <x:c r="A319" s="57" t="str">
        <x:v>OLAP</x:v>
      </x:c>
      <x:c r="B319" s="59" t="str">
        <x:v>Reporting Loans</x:v>
      </x:c>
      <x:c r="C319" s="57" t="n">
        <x:v>19</x:v>
      </x:c>
      <x:c r="D319" s="59" t="str">
        <x:v>Transfer Fee</x:v>
      </x:c>
    </x:row>
    <x:row r="320" ht="15" customHeight="1">
      <x:c r="A320" s="57" t="str">
        <x:v>OLAP</x:v>
      </x:c>
      <x:c r="B320" s="59" t="str">
        <x:v>Reporting Loans</x:v>
      </x:c>
      <x:c r="C320" s="57" t="n">
        <x:v>20</x:v>
      </x:c>
      <x:c r="D320" s="59" t="str">
        <x:v>Interest Payment Interval</x:v>
      </x:c>
    </x:row>
    <x:row r="321" ht="15" customHeight="1">
      <x:c r="A321" s="57" t="str">
        <x:v>OLAP</x:v>
      </x:c>
      <x:c r="B321" s="59" t="str">
        <x:v>Reporting Loans</x:v>
      </x:c>
      <x:c r="C321" s="57" t="n">
        <x:v>21</x:v>
      </x:c>
      <x:c r="D321" s="59" t="str">
        <x:v>Principal Recovered by Interest %</x:v>
      </x:c>
    </x:row>
    <x:row r="322" ht="15" customHeight="1">
      <x:c r="A322" s="57" t="str">
        <x:v>OLAP</x:v>
      </x:c>
      <x:c r="B322" s="59" t="str">
        <x:v>Reporting Loans</x:v>
      </x:c>
      <x:c r="C322" s="57" t="n">
        <x:v>22</x:v>
      </x:c>
      <x:c r="D322" s="59" t="str">
        <x:v>Expected Interest This Month</x:v>
      </x:c>
    </x:row>
    <x:row r="323" ht="15" customHeight="1">
      <x:c r="A323" s="57" t="str">
        <x:v>OLAP</x:v>
      </x:c>
      <x:c r="B323" s="59" t="str">
        <x:v>Reporting Loans</x:v>
      </x:c>
      <x:c r="C323" s="57" t="n">
        <x:v>23</x:v>
      </x:c>
      <x:c r="D323" s="59" t="str">
        <x:v>Effective Daily Interest Rate</x:v>
      </x:c>
    </x:row>
    <x:row r="324" ht="15" customHeight="1">
      <x:c r="A324" s="57" t="str">
        <x:v>OLAP</x:v>
      </x:c>
      <x:c r="B324" s="59" t="str">
        <x:v>Reporting Loans</x:v>
      </x:c>
      <x:c r="C324" s="57" t="n">
        <x:v>24</x:v>
      </x:c>
      <x:c r="D324" s="59" t="str">
        <x:v>Default Loss Amount</x:v>
      </x:c>
    </x:row>
    <x:row r="325" ht="15" customHeight="1">
      <x:c r="A325" s="57" t="str">
        <x:v>OLAP</x:v>
      </x:c>
      <x:c r="B325" s="59" t="str">
        <x:v>Reporting Loans</x:v>
      </x:c>
      <x:c r="C325" s="57" t="n">
        <x:v>25</x:v>
      </x:c>
      <x:c r="D325" s="59" t="str">
        <x:v>Defaulted Flag</x:v>
      </x:c>
    </x:row>
    <x:row r="326" ht="15" customHeight="1">
      <x:c r="A326" s="57" t="str">
        <x:v>OLAP</x:v>
      </x:c>
      <x:c r="B326" s="59" t="str">
        <x:v>Reporting Loans</x:v>
      </x:c>
      <x:c r="C326" s="57" t="n">
        <x:v>26</x:v>
      </x:c>
      <x:c r="D326" s="59" t="str">
        <x:v>Borrower Name</x:v>
      </x:c>
    </x:row>
    <x:row r="327" ht="15" customHeight="1">
      <x:c r="A327" s="57" t="str">
        <x:v>OLAP</x:v>
      </x:c>
      <x:c r="B327" s="59" t="str">
        <x:v>Reporting Loans</x:v>
      </x:c>
      <x:c r="C327" s="57" t="n">
        <x:v>27</x:v>
      </x:c>
      <x:c r="D327" s="59" t="str">
        <x:v>Borrower Name TE</x:v>
      </x:c>
    </x:row>
    <x:row r="328" ht="15" customHeight="1">
      <x:c r="A328" s="57" t="str">
        <x:v>OLAP</x:v>
      </x:c>
      <x:c r="B328" s="59" t="str">
        <x:v>Reporting Loans</x:v>
      </x:c>
      <x:c r="C328" s="57" t="n">
        <x:v>28</x:v>
      </x:c>
      <x:c r="D328" s="59" t="str">
        <x:v>Loan Duration</x:v>
      </x:c>
    </x:row>
    <x:row r="329" ht="15" customHeight="1">
      <x:c r="A329" s="57" t="str">
        <x:v>OLAP</x:v>
      </x:c>
      <x:c r="B329" s="59" t="str">
        <x:v>Reporting Loans</x:v>
      </x:c>
      <x:c r="C329" s="57" t="n">
        <x:v>29</x:v>
      </x:c>
      <x:c r="D329" s="59" t="str">
        <x:v>Defaulted</x:v>
      </x:c>
    </x:row>
    <x:row r="330" ht="15" customHeight="1">
      <x:c r="A330" s="57" t="str">
        <x:v>OLAP</x:v>
      </x:c>
      <x:c r="B330" s="59" t="str">
        <x:v>Reporting Loans</x:v>
      </x:c>
      <x:c r="C330" s="57" t="n">
        <x:v>30</x:v>
      </x:c>
      <x:c r="D330" s="59" t="str">
        <x:v>Maximum Days Late</x:v>
      </x:c>
    </x:row>
    <x:row r="331" ht="15" customHeight="1">
      <x:c r="A331" s="57" t="str">
        <x:v>OLAP</x:v>
      </x:c>
      <x:c r="B331" s="59" t="str">
        <x:v>Reporting Loans</x:v>
      </x:c>
      <x:c r="C331" s="57" t="n">
        <x:v>31</x:v>
      </x:c>
      <x:c r="D331" s="59" t="str">
        <x:v>Daily Payment Amount</x:v>
      </x:c>
    </x:row>
    <x:row r="332" ht="15" customHeight="1">
      <x:c r="A332" s="57" t="str">
        <x:v>OLAP</x:v>
      </x:c>
      <x:c r="B332" s="59" t="str">
        <x:v>Reporting Loans</x:v>
      </x:c>
      <x:c r="C332" s="57" t="n">
        <x:v>32</x:v>
      </x:c>
      <x:c r="D332" s="59" t="str">
        <x:v>Expected Daily Interest Amount</x:v>
      </x:c>
    </x:row>
    <x:row r="333" ht="15" customHeight="1">
      <x:c r="A333" s="57" t="str">
        <x:v>OLAP</x:v>
      </x:c>
      <x:c r="B333" s="59" t="str">
        <x:v>Reporting Repayments</x:v>
      </x:c>
      <x:c r="C333" s="57" t="n">
        <x:v>1</x:v>
      </x:c>
      <x:c r="D333" s="59" t="str">
        <x:v>_RowNumber</x:v>
      </x:c>
    </x:row>
    <x:row r="334" ht="15" customHeight="1">
      <x:c r="A334" s="57" t="str">
        <x:v>OLAP</x:v>
      </x:c>
      <x:c r="B334" s="59" t="str">
        <x:v>Reporting Repayments</x:v>
      </x:c>
      <x:c r="C334" s="57" t="n">
        <x:v>2</x:v>
      </x:c>
      <x:c r="D334" s="59" t="str">
        <x:v>Row ID</x:v>
      </x:c>
    </x:row>
    <x:row r="335" ht="15" customHeight="1">
      <x:c r="A335" s="57" t="str">
        <x:v>OLAP</x:v>
      </x:c>
      <x:c r="B335" s="59" t="str">
        <x:v>Reporting Repayments</x:v>
      </x:c>
      <x:c r="C335" s="57" t="n">
        <x:v>3</x:v>
      </x:c>
      <x:c r="D335" s="59" t="str">
        <x:v>Payment Date</x:v>
      </x:c>
    </x:row>
    <x:row r="336" ht="15" customHeight="1">
      <x:c r="A336" s="57" t="str">
        <x:v>OLAP</x:v>
      </x:c>
      <x:c r="B336" s="59" t="str">
        <x:v>Reporting Repayments</x:v>
      </x:c>
      <x:c r="C336" s="57" t="n">
        <x:v>4</x:v>
      </x:c>
      <x:c r="D336" s="59" t="str">
        <x:v>Amount Received</x:v>
      </x:c>
    </x:row>
    <x:row r="337" ht="15" customHeight="1">
      <x:c r="A337" s="57" t="str">
        <x:v>OLAP</x:v>
      </x:c>
      <x:c r="B337" s="59" t="str">
        <x:v>Reporting Repayments</x:v>
      </x:c>
      <x:c r="C337" s="57" t="n">
        <x:v>5</x:v>
      </x:c>
      <x:c r="D337" s="59" t="str">
        <x:v>Principal Paid</x:v>
      </x:c>
    </x:row>
    <x:row r="338" ht="15" customHeight="1">
      <x:c r="A338" s="57" t="str">
        <x:v>OLAP</x:v>
      </x:c>
      <x:c r="B338" s="59" t="str">
        <x:v>Reporting Repayments</x:v>
      </x:c>
      <x:c r="C338" s="57" t="n">
        <x:v>6</x:v>
      </x:c>
      <x:c r="D338" s="59" t="str">
        <x:v>Interest Paid</x:v>
      </x:c>
    </x:row>
    <x:row r="339" ht="15" customHeight="1">
      <x:c r="A339" s="57" t="str">
        <x:v>OLAP</x:v>
      </x:c>
      <x:c r="B339" s="59" t="str">
        <x:v>Reporting Repayments</x:v>
      </x:c>
      <x:c r="C339" s="57" t="n">
        <x:v>7</x:v>
      </x:c>
      <x:c r="D339" s="59" t="str">
        <x:v>Ref Loans</x:v>
      </x:c>
    </x:row>
    <x:row r="340" ht="15" customHeight="1">
      <x:c r="A340" s="57" t="str">
        <x:v>OLAP</x:v>
      </x:c>
      <x:c r="B340" s="59" t="str">
        <x:v>Reporting Repayments</x:v>
      </x:c>
      <x:c r="C340" s="57" t="n">
        <x:v>8</x:v>
      </x:c>
      <x:c r="D340" s="59" t="str">
        <x:v>Ref Charges</x:v>
      </x:c>
    </x:row>
    <x:row r="341" ht="15" customHeight="1">
      <x:c r="A341" s="57" t="str">
        <x:v>OLAP</x:v>
      </x:c>
      <x:c r="B341" s="59" t="str">
        <x:v>Reporting Statistics</x:v>
      </x:c>
      <x:c r="C341" s="57" t="n">
        <x:v>1</x:v>
      </x:c>
      <x:c r="D341" s="59" t="str">
        <x:v>_RowNumber</x:v>
      </x:c>
    </x:row>
    <x:row r="342" ht="15" customHeight="1">
      <x:c r="A342" s="57" t="str">
        <x:v>OLAP</x:v>
      </x:c>
      <x:c r="B342" s="59" t="str">
        <x:v>Reporting Statistics</x:v>
      </x:c>
      <x:c r="C342" s="57" t="n">
        <x:v>2</x:v>
      </x:c>
      <x:c r="D342" s="59" t="str">
        <x:v>Row ID</x:v>
      </x:c>
    </x:row>
    <x:row r="343" ht="15" customHeight="1">
      <x:c r="A343" s="57" t="str">
        <x:v>OLAP</x:v>
      </x:c>
      <x:c r="B343" s="59" t="str">
        <x:v>Reporting Statistics</x:v>
      </x:c>
      <x:c r="C343" s="57" t="n">
        <x:v>3</x:v>
      </x:c>
      <x:c r="D343" s="59" t="str">
        <x:v>Outstanding Principal</x:v>
      </x:c>
    </x:row>
    <x:row r="344" ht="15" customHeight="1">
      <x:c r="A344" s="57" t="str">
        <x:v>OLAP</x:v>
      </x:c>
      <x:c r="B344" s="59" t="str">
        <x:v>Reporting Statistics</x:v>
      </x:c>
      <x:c r="C344" s="57" t="n">
        <x:v>4</x:v>
      </x:c>
      <x:c r="D344" s="59" t="str">
        <x:v>Active Loans</x:v>
      </x:c>
    </x:row>
    <x:row r="345" ht="15" customHeight="1">
      <x:c r="A345" s="57" t="str">
        <x:v>OLAP</x:v>
      </x:c>
      <x:c r="B345" s="59" t="str">
        <x:v>Reporting Statistics</x:v>
      </x:c>
      <x:c r="C345" s="57" t="n">
        <x:v>5</x:v>
      </x:c>
      <x:c r="D345" s="59" t="str">
        <x:v>Realized Profit MTD</x:v>
      </x:c>
    </x:row>
    <x:row r="346">
      <x:c r="A346" s="57" t="str">
        <x:v>OLAP</x:v>
      </x:c>
      <x:c r="B346" s="59" t="str">
        <x:v>Reporting Statistics</x:v>
      </x:c>
      <x:c r="C346" s="57" t="n">
        <x:v>6</x:v>
      </x:c>
      <x:c r="D346" s="59" t="str">
        <x:v>Projected Monthly Profit</x:v>
      </x:c>
    </x:row>
    <x:row r="347">
      <x:c r="A347" s="57" t="str">
        <x:v>OLAP</x:v>
      </x:c>
      <x:c r="B347" s="59" t="str">
        <x:v>Reporting Statistics</x:v>
      </x:c>
      <x:c r="C347" s="57" t="n">
        <x:v>7</x:v>
      </x:c>
      <x:c r="D347" s="59" t="str">
        <x:v>Peak Cash Pool Date 30D</x:v>
      </x:c>
    </x:row>
    <x:row r="348">
      <x:c r="A348" s="57" t="str">
        <x:v>OLAP</x:v>
      </x:c>
      <x:c r="B348" s="59" t="str">
        <x:v>Reporting Statistics</x:v>
      </x:c>
      <x:c r="C348" s="57" t="n">
        <x:v>8</x:v>
      </x:c>
      <x:c r="D348" s="59" t="str">
        <x:v>Expected Daily Interest</x:v>
      </x:c>
    </x:row>
    <x:row r="349">
      <x:c r="A349" s="57" t="str">
        <x:v>OLAP</x:v>
      </x:c>
      <x:c r="B349" s="59" t="str">
        <x:v>Reporting Statistics</x:v>
      </x:c>
      <x:c r="C349" s="57" t="n">
        <x:v>9</x:v>
      </x:c>
      <x:c r="D349" s="59" t="str">
        <x:v>Total Cash Pool</x:v>
      </x:c>
    </x:row>
    <x:row r="350">
      <x:c r="A350" s="57" t="str">
        <x:v>OLAP</x:v>
      </x:c>
      <x:c r="B350" s="59" t="str">
        <x:v>Reporting Statistics</x:v>
      </x:c>
      <x:c r="C350" s="57" t="n">
        <x:v>10</x:v>
      </x:c>
      <x:c r="D350" s="59" t="str">
        <x:v>Total Unsettled Profit</x:v>
      </x:c>
    </x:row>
    <x:row r="351">
      <x:c r="A351" s="57" t="str">
        <x:v>OLAP</x:v>
      </x:c>
      <x:c r="B351" s="59" t="str">
        <x:v>Reporting Statistics</x:v>
      </x:c>
      <x:c r="C351" s="57" t="n">
        <x:v>11</x:v>
      </x:c>
      <x:c r="D351" s="59" t="str">
        <x:v>Expected Loan Account Balance</x:v>
      </x:c>
    </x:row>
    <x:row r="352">
      <x:c r="A352" s="57" t="str">
        <x:v>OLAP</x:v>
      </x:c>
      <x:c r="B352" s="59" t="str">
        <x:v>Reporting Statistics</x:v>
      </x:c>
      <x:c r="C352" s="57" t="n">
        <x:v>12</x:v>
      </x:c>
      <x:c r="D352" s="59" t="str">
        <x:v>Top 3 Borrower Concentration</x:v>
      </x:c>
    </x:row>
    <x:row r="353">
      <x:c r="A353" s="57" t="str">
        <x:v>OLAP</x:v>
      </x:c>
      <x:c r="B353" s="59" t="str">
        <x:v>Reporting Statistics</x:v>
      </x:c>
      <x:c r="C353" s="57" t="n">
        <x:v>13</x:v>
      </x:c>
      <x:c r="D353" s="59" t="str">
        <x:v>Amount Due Today</x:v>
      </x:c>
    </x:row>
    <x:row r="354">
      <x:c r="A354" s="57" t="str">
        <x:v>OLAP</x:v>
      </x:c>
      <x:c r="B354" s="59" t="str">
        <x:v>Reporting Statistics</x:v>
      </x:c>
      <x:c r="C354" s="57" t="n">
        <x:v>14</x:v>
      </x:c>
      <x:c r="D354" s="59" t="str">
        <x:v>Amount Collected Today</x:v>
      </x:c>
    </x:row>
    <x:row r="355">
      <x:c r="A355" s="57" t="str">
        <x:v>OLAP</x:v>
      </x:c>
      <x:c r="B355" s="59" t="str">
        <x:v>Reporting Statistics</x:v>
      </x:c>
      <x:c r="C355" s="57" t="n">
        <x:v>15</x:v>
      </x:c>
      <x:c r="D355" s="59" t="str">
        <x:v>Amount Outstanding Today</x:v>
      </x:c>
    </x:row>
    <x:row r="356">
      <x:c r="A356" s="57" t="str">
        <x:v>OLAP</x:v>
      </x:c>
      <x:c r="B356" s="59" t="str">
        <x:v>Reporting Statistics</x:v>
      </x:c>
      <x:c r="C356" s="57" t="n">
        <x:v>16</x:v>
      </x:c>
      <x:c r="D356" s="59" t="str">
        <x:v>Amount Collection Rate Today</x:v>
      </x:c>
    </x:row>
    <x:row r="357">
      <x:c r="A357" t="str">
        <x:v>OLAP</x:v>
      </x:c>
      <x:c r="B357" t="str">
        <x:v>Reporting Statistics</x:v>
      </x:c>
      <x:c r="C357" t="n">
        <x:v>17</x:v>
      </x:c>
      <x:c r="D357" t="str">
        <x:v>Total Outstanding Principal</x:v>
      </x:c>
    </x:row>
  </x:sheetData>
  <x:mergeCells>
    <x:mergeCell ref="A1:D1"/>
    <x:mergeCell ref="A2:D2"/>
  </x:mergeCells>
  <x:pageMargins left="0.7" right="0.7" top="0.75" bottom="0.75" header="0.3" footer="0.3"/>
  <x:tableParts count="1">
    <x:tablePart xmlns:r="http://schemas.openxmlformats.org/officeDocument/2006/relationships" r:id="R887ed44da90c4568"/>
  </x:tableParts>
</x:worksheet>
</file>

<file path=xl/worksheets/sheet7.xml><?xml version="1.0" encoding="utf-8"?>
<x:worksheet xmlns:x="http://schemas.openxmlformats.org/spreadsheetml/2006/main">
  <x:sheetViews>
    <x:sheetView showGridLines="0" workbookViewId="0"/>
  </x:sheetViews>
  <x:sheetFormatPr baseColWidth="8" defaultRowHeight="15"/>
  <x:cols>
    <x:col min="1" max="1" width="16" customWidth="1"/>
    <x:col min="2" max="2" width="28" customWidth="1"/>
    <x:col min="3" max="3" width="38" customWidth="1"/>
    <x:col min="4" max="4" width="16" customWidth="1"/>
    <x:col min="5" max="5" width="16" customWidth="1"/>
    <x:col min="6" max="6" width="68" customWidth="1"/>
  </x:cols>
  <x:sheetData>
    <x:row r="1" ht="30" customHeight="1">
      <x:c r="A1" s="3" t="str">
        <x:v>Application Variances</x:v>
      </x:c>
      <x:c r="B1"/>
      <x:c r="C1"/>
      <x:c r="D1"/>
      <x:c r="E1"/>
      <x:c r="F1"/>
    </x:row>
    <x:row r="2" ht="30" customHeight="1">
      <x:c r="A2" s="7" t="str">
        <x:v>Tables and columns present in only one live application definition; reconciled on 2026-09-01 for the OLTP borrower principal-coverage VC and prior OLTP/OLAP variances.</x:v>
      </x:c>
      <x:c r="B2"/>
      <x:c r="C2"/>
      <x:c r="D2"/>
      <x:c r="E2"/>
      <x:c r="F2"/>
    </x:row>
    <x:row r="3">
      <x:c r="A3"/>
      <x:c r="B3"/>
      <x:c r="C3"/>
      <x:c r="D3"/>
      <x:c r="E3"/>
      <x:c r="F3"/>
    </x:row>
    <x:row r="4" ht="30" customHeight="1">
      <x:c r="A4" s="50" t="str">
        <x:v>Object Type</x:v>
      </x:c>
      <x:c r="B4" s="51" t="str">
        <x:v>Table</x:v>
      </x:c>
      <x:c r="C4" s="51" t="str">
        <x:v>Object</x:v>
      </x:c>
      <x:c r="D4" s="51" t="str">
        <x:v>OLTP Presence</x:v>
      </x:c>
      <x:c r="E4" s="51" t="str">
        <x:v>OLAP Presence</x:v>
      </x:c>
      <x:c r="F4" s="52" t="str">
        <x:v>Notes</x:v>
      </x:c>
    </x:row>
    <x:row r="5" ht="15" customHeight="1">
      <x:c r="A5" s="56" t="str">
        <x:v>Table</x:v>
      </x:c>
      <x:c r="B5" s="56" t="str">
        <x:v>Calendar</x:v>
      </x:c>
      <x:c r="C5" s="58" t="str">
        <x:v>Calendar</x:v>
      </x:c>
      <x:c r="D5" s="56" t="str">
        <x:v>No</x:v>
      </x:c>
      <x:c r="E5" s="56" t="str">
        <x:v>Yes</x:v>
      </x:c>
      <x:c r="F5" s="58" t="str">
        <x:v>Google Sheets-backed date spine used by OLAP loan-assessment projections; not part of Money database.</x:v>
      </x:c>
    </x:row>
    <x:row r="6" ht="15" customHeight="1">
      <x:c r="A6" s="57" t="str">
        <x:v>Table</x:v>
      </x:c>
      <x:c r="B6" s="57" t="str">
        <x:v>Cash Pool Contributions</x:v>
      </x:c>
      <x:c r="C6" s="59" t="str">
        <x:v>Cash Pool Contributions</x:v>
      </x:c>
      <x:c r="D6" s="57" t="str">
        <x:v>No</x:v>
      </x:c>
      <x:c r="E6" s="57" t="str">
        <x:v>Yes</x:v>
      </x:c>
      <x:c r="F6" s="59" t="str">
        <x:v>Partner capital-contribution movements that build the lendable cash pool.</x:v>
      </x:c>
    </x:row>
    <x:row r="7" ht="15" customHeight="1">
      <x:c r="A7" s="57" t="str">
        <x:v>Table</x:v>
      </x:c>
      <x:c r="B7" s="57" t="str">
        <x:v>Daily Analytics</x:v>
      </x:c>
      <x:c r="C7" s="59" t="str">
        <x:v>Daily Analytics</x:v>
      </x:c>
      <x:c r="D7" s="57" t="str">
        <x:v>No</x:v>
      </x:c>
      <x:c r="E7" s="57" t="str">
        <x:v>Yes</x:v>
      </x:c>
      <x:c r="F7" s="59" t="str">
        <x:v>Persisted daily portfolio snapshot fact table for historical reporting and governed feeds.</x:v>
      </x:c>
    </x:row>
    <x:row r="8" ht="15" customHeight="1">
      <x:c r="A8" s="57" t="str">
        <x:v>Table</x:v>
      </x:c>
      <x:c r="B8" s="57" t="str">
        <x:v>Loan Assessment</x:v>
      </x:c>
      <x:c r="C8" s="59" t="str">
        <x:v>Loan Assessment</x:v>
      </x:c>
      <x:c r="D8" s="57" t="str">
        <x:v>No</x:v>
      </x:c>
      <x:c r="E8" s="57" t="str">
        <x:v>Yes</x:v>
      </x:c>
      <x:c r="F8" s="59" t="str">
        <x:v>Input/control record for evaluating a proposed loan against projected coverage and return.</x:v>
      </x:c>
    </x:row>
    <x:row r="9" ht="15" customHeight="1">
      <x:c r="A9" s="57" t="str">
        <x:v>Table</x:v>
      </x:c>
      <x:c r="B9" s="57" t="str">
        <x:v>Settlements</x:v>
      </x:c>
      <x:c r="C9" s="59" t="str">
        <x:v>Settlements</x:v>
      </x:c>
      <x:c r="D9" s="57" t="str">
        <x:v>No</x:v>
      </x:c>
      <x:c r="E9" s="57" t="str">
        <x:v>Yes</x:v>
      </x:c>
      <x:c r="F9" s="59" t="str">
        <x:v>Auditable partner settlement records and settlement status.</x:v>
      </x:c>
    </x:row>
    <x:row r="10" ht="15" customHeight="1">
      <x:c r="A10" s="57" t="str">
        <x:v>Column</x:v>
      </x:c>
      <x:c r="B10" s="57" t="str">
        <x:v>Borrowers</x:v>
      </x:c>
      <x:c r="C10" s="59" t="str">
        <x:v>Profit Last 30 Days</x:v>
      </x:c>
      <x:c r="D10" s="57" t="str">
        <x:v>No</x:v>
      </x:c>
      <x:c r="E10" s="57" t="str">
        <x:v>Yes</x:v>
      </x:c>
      <x:c r="F10" s="59" t="str">
        <x:v>Derived date, time-window, age, or delinquency measure.</x:v>
      </x:c>
    </x:row>
    <x:row r="11" ht="15" customHeight="1">
      <x:c r="A11" s="57" t="str">
        <x:v>Column</x:v>
      </x:c>
      <x:c r="B11" s="57" t="str">
        <x:v>Borrowers</x:v>
      </x:c>
      <x:c r="C11" s="59" t="str">
        <x:v>Related Loan Assessments</x:v>
      </x:c>
      <x:c r="D11" s="57" t="str">
        <x:v>No</x:v>
      </x:c>
      <x:c r="E11" s="57" t="str">
        <x:v>Yes</x:v>
      </x:c>
      <x:c r="F11" s="59" t="str">
        <x:v>Reverse-reference list of child rows that point to this record.</x:v>
      </x:c>
    </x:row>
    <x:row r="12" ht="15" customHeight="1">
      <x:c r="A12" s="57" t="str">
        <x:v>Column</x:v>
      </x:c>
      <x:c r="B12" s="57" t="str">
        <x:v>Borrowers</x:v>
      </x:c>
      <x:c r="C12" s="59" t="str">
        <x:v>Related Calendars</x:v>
      </x:c>
      <x:c r="D12" s="57" t="str">
        <x:v>No</x:v>
      </x:c>
      <x:c r="E12" s="57" t="str">
        <x:v>Yes</x:v>
      </x:c>
      <x:c r="F12" s="59" t="str">
        <x:v>Reverse-reference list of child rows that point to this record.</x:v>
      </x:c>
    </x:row>
    <x:row r="13" ht="15" customHeight="1">
      <x:c r="A13" s="57" t="str">
        <x:v>Column</x:v>
      </x:c>
      <x:c r="B13" s="57" t="str">
        <x:v>Borrowers</x:v>
      </x:c>
      <x:c r="C13" s="59" t="str">
        <x:v>30D Gross Principal Days</x:v>
      </x:c>
      <x:c r="D13" s="57" t="str">
        <x:v>No</x:v>
      </x:c>
      <x:c r="E13" s="57" t="str">
        <x:v>Yes</x:v>
      </x:c>
      <x:c r="F13" s="59" t="str">
        <x:v>Derived date, time-window, age, or delinquency measure.</x:v>
      </x:c>
    </x:row>
    <x:row r="14" ht="15" customHeight="1">
      <x:c r="A14" s="57" t="str">
        <x:v>Column</x:v>
      </x:c>
      <x:c r="B14" s="57" t="str">
        <x:v>Borrowers</x:v>
      </x:c>
      <x:c r="C14" s="59" t="str">
        <x:v>30D Principal Reduction Days</x:v>
      </x:c>
      <x:c r="D14" s="57" t="str">
        <x:v>No</x:v>
      </x:c>
      <x:c r="E14" s="57" t="str">
        <x:v>Yes</x:v>
      </x:c>
      <x:c r="F14" s="59" t="str">
        <x:v>Derived date, time-window, age, or delinquency measure.</x:v>
      </x:c>
    </x:row>
    <x:row r="15" ht="15" customHeight="1">
      <x:c r="A15" s="57" t="str">
        <x:v>Column</x:v>
      </x:c>
      <x:c r="B15" s="57" t="str">
        <x:v>Borrowers</x:v>
      </x:c>
      <x:c r="C15" s="59" t="str">
        <x:v>30D Average Outstanding Principal</x:v>
      </x:c>
      <x:c r="D15" s="57" t="str">
        <x:v>No</x:v>
      </x:c>
      <x:c r="E15" s="57" t="str">
        <x:v>Yes</x:v>
      </x:c>
      <x:c r="F15" s="59" t="str">
        <x:v>Derived date, time-window, age, or delinquency measure.</x:v>
      </x:c>
    </x:row>
    <x:row r="16" ht="15" customHeight="1">
      <x:c r="A16" s="57" t="str">
        <x:v>Column</x:v>
      </x:c>
      <x:c r="B16" s="57" t="str">
        <x:v>Borrowers</x:v>
      </x:c>
      <x:c r="C16" s="59" t="str">
        <x:v>30D Return on Average Principal</x:v>
      </x:c>
      <x:c r="D16" s="57" t="str">
        <x:v>No</x:v>
      </x:c>
      <x:c r="E16" s="57" t="str">
        <x:v>Yes</x:v>
      </x:c>
      <x:c r="F16" s="59" t="str">
        <x:v>Derived ratio or performance measure calculated from governed source values.</x:v>
      </x:c>
    </x:row>
    <x:row r="17" ht="15" customHeight="1">
      <x:c r="A17" s="57" t="str">
        <x:v>Column</x:v>
      </x:c>
      <x:c r="B17" s="57" t="str">
        <x:v>Borrowers</x:v>
      </x:c>
      <x:c r="C17" s="59" t="str">
        <x:v>Portfolio Exposure %</x:v>
      </x:c>
      <x:c r="D17" s="57" t="str">
        <x:v>No</x:v>
      </x:c>
      <x:c r="E17" s="57" t="str">
        <x:v>Yes</x:v>
      </x:c>
      <x:c r="F17" s="59" t="str">
        <x:v>Derived ratio or performance measure calculated from governed source values.</x:v>
      </x:c>
    </x:row>
    <x:row r="18" ht="15" customHeight="1">
      <x:c r="A18" s="57" t="str">
        <x:v>Column</x:v>
      </x:c>
      <x:c r="B18" s="57" t="str">
        <x:v>Borrowers</x:v>
      </x:c>
      <x:c r="C18" s="59" t="str">
        <x:v>Active Loan Count</x:v>
      </x:c>
      <x:c r="D18" s="57" t="str">
        <x:v>No</x:v>
      </x:c>
      <x:c r="E18" s="57" t="str">
        <x:v>Yes</x:v>
      </x:c>
      <x:c r="F18" s="59" t="str">
        <x:v>Derived count used for workload, portfolio, or risk analysis.</x:v>
      </x:c>
    </x:row>
    <x:row r="19" ht="15" customHeight="1">
      <x:c r="A19" s="57" t="str">
        <x:v>Column</x:v>
      </x:c>
      <x:c r="B19" s="57" t="str">
        <x:v>Borrowers</x:v>
      </x:c>
      <x:c r="C19" s="59" t="str">
        <x:v>Oldest Active Loan Age</x:v>
      </x:c>
      <x:c r="D19" s="57" t="str">
        <x:v>No</x:v>
      </x:c>
      <x:c r="E19" s="57" t="str">
        <x:v>Yes</x:v>
      </x:c>
      <x:c r="F19" s="59" t="str">
        <x:v>Derived date, time-window, age, or delinquency measure.</x:v>
      </x:c>
    </x:row>
    <x:row r="20" ht="15" customHeight="1">
      <x:c r="A20" s="57" t="str">
        <x:v>Column</x:v>
      </x:c>
      <x:c r="B20" s="57" t="str">
        <x:v>Borrowers</x:v>
      </x:c>
      <x:c r="C20" s="59" t="str">
        <x:v>Overdue Amount</x:v>
      </x:c>
      <x:c r="D20" s="57" t="str">
        <x:v>No</x:v>
      </x:c>
      <x:c r="E20" s="57" t="str">
        <x:v>Yes</x:v>
      </x:c>
      <x:c r="F20" s="59" t="str">
        <x:v>Derived financial aggregate or balance for operational or analytical use.</x:v>
      </x:c>
    </x:row>
    <x:row r="21" ht="15" customHeight="1">
      <x:c r="A21" s="57" t="str">
        <x:v>Column</x:v>
      </x:c>
      <x:c r="B21" s="57" t="str">
        <x:v>Borrowers</x:v>
      </x:c>
      <x:c r="C21" s="59" t="str">
        <x:v>Overdue Charge Count</x:v>
      </x:c>
      <x:c r="D21" s="57" t="str">
        <x:v>No</x:v>
      </x:c>
      <x:c r="E21" s="57" t="str">
        <x:v>Yes</x:v>
      </x:c>
      <x:c r="F21" s="59" t="str">
        <x:v>Derived count used for workload, portfolio, or risk analysis.</x:v>
      </x:c>
    </x:row>
    <x:row r="22" ht="15" customHeight="1">
      <x:c r="A22" s="57" t="str">
        <x:v>Column</x:v>
      </x:c>
      <x:c r="B22" s="57" t="str">
        <x:v>Borrowers</x:v>
      </x:c>
      <x:c r="C22" s="59" t="str">
        <x:v>Historical Charge Count</x:v>
      </x:c>
      <x:c r="D22" s="57" t="str">
        <x:v>No</x:v>
      </x:c>
      <x:c r="E22" s="57" t="str">
        <x:v>Yes</x:v>
      </x:c>
      <x:c r="F22" s="59" t="str">
        <x:v>Derived count used for workload, portfolio, or risk analysis.</x:v>
      </x:c>
    </x:row>
    <x:row r="23" ht="15" customHeight="1">
      <x:c r="A23" s="57" t="str">
        <x:v>Column</x:v>
      </x:c>
      <x:c r="B23" s="57" t="str">
        <x:v>Borrowers</x:v>
      </x:c>
      <x:c r="C23" s="59" t="str">
        <x:v>On Time Charge Count</x:v>
      </x:c>
      <x:c r="D23" s="57" t="str">
        <x:v>No</x:v>
      </x:c>
      <x:c r="E23" s="57" t="str">
        <x:v>Yes</x:v>
      </x:c>
      <x:c r="F23" s="59" t="str">
        <x:v>Derived count used for workload, portfolio, or risk analysis.</x:v>
      </x:c>
    </x:row>
    <x:row r="24" ht="15" customHeight="1">
      <x:c r="A24" s="57" t="str">
        <x:v>Column</x:v>
      </x:c>
      <x:c r="B24" s="57" t="str">
        <x:v>Borrowers</x:v>
      </x:c>
      <x:c r="C24" s="59" t="str">
        <x:v>Lifetime On Time Rate</x:v>
      </x:c>
      <x:c r="D24" s="57" t="str">
        <x:v>No</x:v>
      </x:c>
      <x:c r="E24" s="57" t="str">
        <x:v>Yes</x:v>
      </x:c>
      <x:c r="F24" s="59" t="str">
        <x:v>Derived ratio or performance measure calculated from governed source values.</x:v>
      </x:c>
    </x:row>
    <x:row r="25" ht="15" customHeight="1">
      <x:c r="A25" s="57" t="str">
        <x:v>Column</x:v>
      </x:c>
      <x:c r="B25" s="57" t="str">
        <x:v>Borrowers</x:v>
      </x:c>
      <x:c r="C25" s="59" t="str">
        <x:v>Recent 30D Charge Count</x:v>
      </x:c>
      <x:c r="D25" s="57" t="str">
        <x:v>No</x:v>
      </x:c>
      <x:c r="E25" s="57" t="str">
        <x:v>Yes</x:v>
      </x:c>
      <x:c r="F25" s="59" t="str">
        <x:v>Derived count used for workload, portfolio, or risk analysis.</x:v>
      </x:c>
    </x:row>
    <x:row r="26" ht="15" customHeight="1">
      <x:c r="A26" s="57" t="str">
        <x:v>Column</x:v>
      </x:c>
      <x:c r="B26" s="57" t="str">
        <x:v>Borrowers</x:v>
      </x:c>
      <x:c r="C26" s="59" t="str">
        <x:v>Recent 30D On Time Count</x:v>
      </x:c>
      <x:c r="D26" s="57" t="str">
        <x:v>No</x:v>
      </x:c>
      <x:c r="E26" s="57" t="str">
        <x:v>Yes</x:v>
      </x:c>
      <x:c r="F26" s="59" t="str">
        <x:v>Derived count used for workload, portfolio, or risk analysis.</x:v>
      </x:c>
    </x:row>
    <x:row r="27" ht="15" customHeight="1">
      <x:c r="A27" s="57" t="str">
        <x:v>Column</x:v>
      </x:c>
      <x:c r="B27" s="57" t="str">
        <x:v>Borrowers</x:v>
      </x:c>
      <x:c r="C27" s="59" t="str">
        <x:v>Recent 30D On Time Rate</x:v>
      </x:c>
      <x:c r="D27" s="57" t="str">
        <x:v>No</x:v>
      </x:c>
      <x:c r="E27" s="57" t="str">
        <x:v>Yes</x:v>
      </x:c>
      <x:c r="F27" s="59" t="str">
        <x:v>Derived ratio or performance measure calculated from governed source values.</x:v>
      </x:c>
    </x:row>
    <x:row r="28" ht="15" customHeight="1">
      <x:c r="A28" s="57" t="str">
        <x:v>Column</x:v>
      </x:c>
      <x:c r="B28" s="57" t="str">
        <x:v>Borrowers</x:v>
      </x:c>
      <x:c r="C28" s="59" t="str">
        <x:v>Lifetime Late Payment Count</x:v>
      </x:c>
      <x:c r="D28" s="57" t="str">
        <x:v>No</x:v>
      </x:c>
      <x:c r="E28" s="57" t="str">
        <x:v>Yes</x:v>
      </x:c>
      <x:c r="F28" s="59" t="str">
        <x:v>Derived count used for workload, portfolio, or risk analysis.</x:v>
      </x:c>
    </x:row>
    <x:row r="29" ht="15" customHeight="1">
      <x:c r="A29" s="57" t="str">
        <x:v>Column</x:v>
      </x:c>
      <x:c r="B29" s="57" t="str">
        <x:v>Borrowers</x:v>
      </x:c>
      <x:c r="C29" s="59" t="str">
        <x:v>Recent 30D Late Payment Count</x:v>
      </x:c>
      <x:c r="D29" s="57" t="str">
        <x:v>No</x:v>
      </x:c>
      <x:c r="E29" s="57" t="str">
        <x:v>Yes</x:v>
      </x:c>
      <x:c r="F29" s="59" t="str">
        <x:v>Derived count used for workload, portfolio, or risk analysis.</x:v>
      </x:c>
    </x:row>
    <x:row r="30" ht="15" customHeight="1">
      <x:c r="A30" s="57" t="str">
        <x:v>Column</x:v>
      </x:c>
      <x:c r="B30" s="57" t="str">
        <x:v>Borrowers</x:v>
      </x:c>
      <x:c r="C30" s="59" t="str">
        <x:v>Maximum Days Late</x:v>
      </x:c>
      <x:c r="D30" s="57" t="str">
        <x:v>No</x:v>
      </x:c>
      <x:c r="E30" s="57" t="str">
        <x:v>Yes</x:v>
      </x:c>
      <x:c r="F30" s="59" t="str">
        <x:v>Derived business-state or risk indicator.</x:v>
      </x:c>
    </x:row>
    <x:row r="31" ht="15" customHeight="1">
      <x:c r="A31" s="57" t="str">
        <x:v>Column</x:v>
      </x:c>
      <x:c r="B31" s="57" t="str">
        <x:v>Borrowers</x:v>
      </x:c>
      <x:c r="C31" s="59" t="str">
        <x:v>Last Late Payment Date</x:v>
      </x:c>
      <x:c r="D31" s="57" t="str">
        <x:v>No</x:v>
      </x:c>
      <x:c r="E31" s="57" t="str">
        <x:v>Yes</x:v>
      </x:c>
      <x:c r="F31" s="59" t="str">
        <x:v>Derived business-state or risk indicator.</x:v>
      </x:c>
    </x:row>
    <x:row r="32" ht="15" customHeight="1">
      <x:c r="A32" s="57" t="str">
        <x:v>Column</x:v>
      </x:c>
      <x:c r="B32" s="57" t="str">
        <x:v>Borrowers</x:v>
      </x:c>
      <x:c r="C32" s="59" t="str">
        <x:v>Largest Successful Loan</x:v>
      </x:c>
      <x:c r="D32" s="57" t="str">
        <x:v>No</x:v>
      </x:c>
      <x:c r="E32" s="57" t="str">
        <x:v>Yes</x:v>
      </x:c>
      <x:c r="F32" s="59" t="str">
        <x:v>Derived AppSheet value used by the app workflow, presentation, or reporting model.</x:v>
      </x:c>
    </x:row>
    <x:row r="33" ht="15" customHeight="1">
      <x:c r="A33" s="57" t="str">
        <x:v>Column</x:v>
      </x:c>
      <x:c r="B33" s="57" t="str">
        <x:v>Borrowers</x:v>
      </x:c>
      <x:c r="C33" s="59" t="str">
        <x:v>Average Successful Loan Size</x:v>
      </x:c>
      <x:c r="D33" s="57" t="str">
        <x:v>No</x:v>
      </x:c>
      <x:c r="E33" s="57" t="str">
        <x:v>Yes</x:v>
      </x:c>
      <x:c r="F33" s="59" t="str">
        <x:v>Derived date, time-window, age, or delinquency measure.</x:v>
      </x:c>
    </x:row>
    <x:row r="34" ht="15" customHeight="1">
      <x:c r="A34" s="57" t="str">
        <x:v>Column</x:v>
      </x:c>
      <x:c r="B34" s="57" t="str">
        <x:v>Borrowers</x:v>
      </x:c>
      <x:c r="C34" s="59" t="str">
        <x:v>Default Count</x:v>
      </x:c>
      <x:c r="D34" s="57" t="str">
        <x:v>No</x:v>
      </x:c>
      <x:c r="E34" s="57" t="str">
        <x:v>Yes</x:v>
      </x:c>
      <x:c r="F34" s="59" t="str">
        <x:v>Derived count used for workload, portfolio, or risk analysis.</x:v>
      </x:c>
    </x:row>
    <x:row r="35" ht="15" customHeight="1">
      <x:c r="A35" s="57" t="str">
        <x:v>Column</x:v>
      </x:c>
      <x:c r="B35" s="57" t="str">
        <x:v>Borrowers</x:v>
      </x:c>
      <x:c r="C35" s="59" t="str">
        <x:v>Lifetime Default Loss</x:v>
      </x:c>
      <x:c r="D35" s="57" t="str">
        <x:v>No</x:v>
      </x:c>
      <x:c r="E35" s="57" t="str">
        <x:v>Yes</x:v>
      </x:c>
      <x:c r="F35" s="59" t="str">
        <x:v>Derived AppSheet value used by the app workflow, presentation, or reporting model.</x:v>
      </x:c>
    </x:row>
    <x:row r="36" ht="15" customHeight="1">
      <x:c r="A36" s="57" t="str">
        <x:v>Column</x:v>
      </x:c>
      <x:c r="B36" s="57" t="str">
        <x:v>Borrowers</x:v>
      </x:c>
      <x:c r="C36" s="59" t="str">
        <x:v>Portfolio Outstanding Principal</x:v>
      </x:c>
      <x:c r="D36" s="57" t="str">
        <x:v>No</x:v>
      </x:c>
      <x:c r="E36" s="57" t="str">
        <x:v>Yes</x:v>
      </x:c>
      <x:c r="F36" s="59" t="str">
        <x:v>Derived financial aggregate or balance for operational or analytical use.</x:v>
      </x:c>
    </x:row>
    <x:row r="37" ht="15" customHeight="1">
      <x:c r="A37" s="57" t="str">
        <x:v>Column</x:v>
      </x:c>
      <x:c r="B37" s="57" t="str">
        <x:v>Borrowers</x:v>
      </x:c>
      <x:c r="C37" s="59" t="str">
        <x:v>Portfolio Share Join Key</x:v>
      </x:c>
      <x:c r="D37" s="57" t="str">
        <x:v>No</x:v>
      </x:c>
      <x:c r="E37" s="57" t="str">
        <x:v>Yes</x:v>
      </x:c>
      <x:c r="F37" s="59" t="str">
        <x:v>Derived grouping, ordering, or join value used by reporting or app presentation.</x:v>
      </x:c>
    </x:row>
    <x:row r="38" ht="15" customHeight="1">
      <x:c r="A38" s="57" t="str">
        <x:v>Column</x:v>
      </x:c>
      <x:c r="B38" s="57" t="str">
        <x:v>Borrowers</x:v>
      </x:c>
      <x:c r="C38" s="59" t="str">
        <x:v>Daily Collection Status - Order</x:v>
      </x:c>
      <x:c r="D38" s="57" t="str">
        <x:v>Yes</x:v>
      </x:c>
      <x:c r="E38" s="57" t="str">
        <x:v>No</x:v>
      </x:c>
      <x:c r="F38" s="59" t="str">
        <x:v>Derived grouping, ordering, or join value used by reporting or app presentation.</x:v>
      </x:c>
    </x:row>
    <x:row r="39" ht="15" customHeight="1">
      <x:c r="A39" s="57" t="str">
        <x:v>Column</x:v>
      </x:c>
      <x:c r="B39" s="57" t="str">
        <x:v>Borrowers</x:v>
      </x:c>
      <x:c r="C39" s="59" t="str">
        <x:v>Borrower Name - Collection</x:v>
      </x:c>
      <x:c r="D39" s="57" t="str">
        <x:v>Yes</x:v>
      </x:c>
      <x:c r="E39" s="57" t="str">
        <x:v>No</x:v>
      </x:c>
      <x:c r="F39" s="59" t="str">
        <x:v>Derived AppSheet value used by the app workflow, presentation, or reporting model.</x:v>
      </x:c>
    </x:row>
    <x:row r="40" ht="15" customHeight="1">
      <x:c r="A40" s="57" t="str">
        <x:v>Column</x:v>
      </x:c>
      <x:c r="B40" s="57" t="str">
        <x:v>Borrowers</x:v>
      </x:c>
      <x:c r="C40" s="59" t="str">
        <x:v>Hidden Flag</x:v>
      </x:c>
      <x:c r="D40" s="57" t="str">
        <x:v>Yes</x:v>
      </x:c>
      <x:c r="E40" s="57" t="str">
        <x:v>No</x:v>
      </x:c>
      <x:c r="F40" s="59" t="str">
        <x:v>Physical Yes/No field exists in Money database and production OLTP. OLAP schema was not regenerated; the field is used only by the OLTP Visible Borrowers slice.</x:v>
      </x:c>
    </x:row>
    <x:row r="41" ht="15" customHeight="1">
      <x:c r="A41" s="57" t="str">
        <x:v>Column</x:v>
      </x:c>
      <x:c r="B41" s="57" t="str">
        <x:v>Borrowers</x:v>
      </x:c>
      <x:c r="C41" s="59" t="str">
        <x:v>Active Profit After Principal Coverage</x:v>
      </x:c>
      <x:c r="D41" s="57" t="str">
        <x:v>Yes</x:v>
      </x:c>
      <x:c r="E41" s="57" t="str">
        <x:v>No</x:v>
      </x:c>
      <x:c r="F41" s="59" t="str">
        <x:v>OLTP-only Price VC: active interest earned minus outstanding principal; used in borrower detail.</x:v>
      </x:c>
    </x:row>
    <x:row r="42" ht="15" customHeight="1">
      <x:c r="A42" s="57" t="str">
        <x:v>Column</x:v>
      </x:c>
      <x:c r="B42" s="57" t="str">
        <x:v>Calendar</x:v>
      </x:c>
      <x:c r="C42" s="59" t="str">
        <x:v>_RowNumber</x:v>
      </x:c>
      <x:c r="D42" s="57" t="str">
        <x:v>No</x:v>
      </x:c>
      <x:c r="E42" s="57" t="str">
        <x:v>Yes</x:v>
      </x:c>
      <x:c r="F42" s="59" t="str">
        <x:v>System-generated source-row ordinal; not a stable business key.</x:v>
      </x:c>
    </x:row>
    <x:row r="43" ht="15" customHeight="1">
      <x:c r="A43" s="57" t="str">
        <x:v>Column</x:v>
      </x:c>
      <x:c r="B43" s="57" t="str">
        <x:v>Calendar</x:v>
      </x:c>
      <x:c r="C43" s="59" t="str">
        <x:v>Date</x:v>
      </x:c>
      <x:c r="D43" s="57" t="str">
        <x:v>No</x:v>
      </x:c>
      <x:c r="E43" s="57" t="str">
        <x:v>Yes</x:v>
      </x:c>
      <x:c r="F43" s="59" t="str">
        <x:v>Stores the source date for Date.</x:v>
      </x:c>
    </x:row>
    <x:row r="44" ht="15" customHeight="1">
      <x:c r="A44" s="57" t="str">
        <x:v>Column</x:v>
      </x:c>
      <x:c r="B44" s="57" t="str">
        <x:v>Calendar</x:v>
      </x:c>
      <x:c r="C44" s="59" t="str">
        <x:v>Assessment Proposed Amount</x:v>
      </x:c>
      <x:c r="D44" s="57" t="str">
        <x:v>No</x:v>
      </x:c>
      <x:c r="E44" s="57" t="str">
        <x:v>Yes</x:v>
      </x:c>
      <x:c r="F44" s="59" t="str">
        <x:v>Derived financial aggregate or balance for operational or analytical use.</x:v>
      </x:c>
    </x:row>
    <x:row r="45" ht="15" customHeight="1">
      <x:c r="A45" s="57" t="str">
        <x:v>Column</x:v>
      </x:c>
      <x:c r="B45" s="57" t="str">
        <x:v>Calendar</x:v>
      </x:c>
      <x:c r="C45" s="59" t="str">
        <x:v>Assessment Borrower</x:v>
      </x:c>
      <x:c r="D45" s="57" t="str">
        <x:v>No</x:v>
      </x:c>
      <x:c r="E45" s="57" t="str">
        <x:v>Yes</x:v>
      </x:c>
      <x:c r="F45" s="59" t="str">
        <x:v>Reference key that links this row to the configured parent table.</x:v>
      </x:c>
    </x:row>
    <x:row r="46" ht="15" customHeight="1">
      <x:c r="A46" s="57" t="str">
        <x:v>Column</x:v>
      </x:c>
      <x:c r="B46" s="57" t="str">
        <x:v>Calendar</x:v>
      </x:c>
      <x:c r="C46" s="59" t="str">
        <x:v>Assessment Minimum Rate</x:v>
      </x:c>
      <x:c r="D46" s="57" t="str">
        <x:v>No</x:v>
      </x:c>
      <x:c r="E46" s="57" t="str">
        <x:v>Yes</x:v>
      </x:c>
      <x:c r="F46" s="59" t="str">
        <x:v>Derived ratio or performance measure calculated from governed source values.</x:v>
      </x:c>
    </x:row>
    <x:row r="47" ht="15" customHeight="1">
      <x:c r="A47" s="57" t="str">
        <x:v>Column</x:v>
      </x:c>
      <x:c r="B47" s="57" t="str">
        <x:v>Calendar</x:v>
      </x:c>
      <x:c r="C47" s="59" t="str">
        <x:v>Projected Outstanding Principal</x:v>
      </x:c>
      <x:c r="D47" s="57" t="str">
        <x:v>No</x:v>
      </x:c>
      <x:c r="E47" s="57" t="str">
        <x:v>Yes</x:v>
      </x:c>
      <x:c r="F47" s="59" t="str">
        <x:v>Derived financial aggregate or balance for operational or analytical use.</x:v>
      </x:c>
    </x:row>
    <x:row r="48" ht="15" customHeight="1">
      <x:c r="A48" s="57" t="str">
        <x:v>Column</x:v>
      </x:c>
      <x:c r="B48" s="57" t="str">
        <x:v>Calendar</x:v>
      </x:c>
      <x:c r="C48" s="59" t="str">
        <x:v>Projected Interest</x:v>
      </x:c>
      <x:c r="D48" s="57" t="str">
        <x:v>No</x:v>
      </x:c>
      <x:c r="E48" s="57" t="str">
        <x:v>Yes</x:v>
      </x:c>
      <x:c r="F48" s="59" t="str">
        <x:v>Derived financial aggregate or balance for operational or analytical use.</x:v>
      </x:c>
    </x:row>
    <x:row r="49" ht="15" customHeight="1">
      <x:c r="A49" s="57" t="str">
        <x:v>Column</x:v>
      </x:c>
      <x:c r="B49" s="57" t="str">
        <x:v>Calendar</x:v>
      </x:c>
      <x:c r="C49" s="59" t="str">
        <x:v>Candidate Day Index</x:v>
      </x:c>
      <x:c r="D49" s="57" t="str">
        <x:v>No</x:v>
      </x:c>
      <x:c r="E49" s="57" t="str">
        <x:v>Yes</x:v>
      </x:c>
      <x:c r="F49" s="59" t="str">
        <x:v>Derived date, time-window, age, or delinquency measure.</x:v>
      </x:c>
    </x:row>
    <x:row r="50" ht="15" customHeight="1">
      <x:c r="A50" s="57" t="str">
        <x:v>Column</x:v>
      </x:c>
      <x:c r="B50" s="57" t="str">
        <x:v>Calendar</x:v>
      </x:c>
      <x:c r="C50" s="59" t="str">
        <x:v>Assessment Principal Base</x:v>
      </x:c>
      <x:c r="D50" s="57" t="str">
        <x:v>No</x:v>
      </x:c>
      <x:c r="E50" s="57" t="str">
        <x:v>Yes</x:v>
      </x:c>
      <x:c r="F50" s="59" t="str">
        <x:v>Derived financial aggregate or balance for operational or analytical use.</x:v>
      </x:c>
    </x:row>
    <x:row r="51" ht="15" customHeight="1">
      <x:c r="A51" s="57" t="str">
        <x:v>Column</x:v>
      </x:c>
      <x:c r="B51" s="57" t="str">
        <x:v>Calendar</x:v>
      </x:c>
      <x:c r="C51" s="59" t="str">
        <x:v>Assessment Principal Start Weight</x:v>
      </x:c>
      <x:c r="D51" s="57" t="str">
        <x:v>No</x:v>
      </x:c>
      <x:c r="E51" s="57" t="str">
        <x:v>Yes</x:v>
      </x:c>
      <x:c r="F51" s="59" t="str">
        <x:v>Derived financial aggregate or balance for operational or analytical use.</x:v>
      </x:c>
    </x:row>
    <x:row r="52" ht="15" customHeight="1">
      <x:c r="A52" s="57" t="str">
        <x:v>Column</x:v>
      </x:c>
      <x:c r="B52" s="57" t="str">
        <x:v>Calendar</x:v>
      </x:c>
      <x:c r="C52" s="59" t="str">
        <x:v>Minimum Required Profit</x:v>
      </x:c>
      <x:c r="D52" s="57" t="str">
        <x:v>No</x:v>
      </x:c>
      <x:c r="E52" s="57" t="str">
        <x:v>Yes</x:v>
      </x:c>
      <x:c r="F52" s="59" t="str">
        <x:v>Derived financial aggregate or balance for operational or analytical use.</x:v>
      </x:c>
    </x:row>
    <x:row r="53" ht="15" customHeight="1">
      <x:c r="A53" s="57" t="str">
        <x:v>Column</x:v>
      </x:c>
      <x:c r="B53" s="57" t="str">
        <x:v>Calendar</x:v>
      </x:c>
      <x:c r="C53" s="59" t="str">
        <x:v>Required Coverage</x:v>
      </x:c>
      <x:c r="D53" s="57" t="str">
        <x:v>No</x:v>
      </x:c>
      <x:c r="E53" s="57" t="str">
        <x:v>Yes</x:v>
      </x:c>
      <x:c r="F53" s="59" t="str">
        <x:v>Derived ratio or performance measure calculated from governed source values.</x:v>
      </x:c>
    </x:row>
    <x:row r="54" ht="15" customHeight="1">
      <x:c r="A54" s="57" t="str">
        <x:v>Column</x:v>
      </x:c>
      <x:c r="B54" s="57" t="str">
        <x:v>Calendar</x:v>
      </x:c>
      <x:c r="C54" s="59" t="str">
        <x:v>Coverage Margin</x:v>
      </x:c>
      <x:c r="D54" s="57" t="str">
        <x:v>No</x:v>
      </x:c>
      <x:c r="E54" s="57" t="str">
        <x:v>Yes</x:v>
      </x:c>
      <x:c r="F54" s="59" t="str">
        <x:v>Derived ratio or performance measure calculated from governed source values.</x:v>
      </x:c>
    </x:row>
    <x:row r="55" ht="15" customHeight="1">
      <x:c r="A55" s="57" t="str">
        <x:v>Column</x:v>
      </x:c>
      <x:c r="B55" s="57" t="str">
        <x:v>Calendar</x:v>
      </x:c>
      <x:c r="C55" s="59" t="str">
        <x:v>Eligible</x:v>
      </x:c>
      <x:c r="D55" s="57" t="str">
        <x:v>No</x:v>
      </x:c>
      <x:c r="E55" s="57" t="str">
        <x:v>Yes</x:v>
      </x:c>
      <x:c r="F55" s="59" t="str">
        <x:v>Derived business-state or risk indicator.</x:v>
      </x:c>
    </x:row>
    <x:row r="56" ht="15" customHeight="1">
      <x:c r="A56" s="57" t="str">
        <x:v>Column</x:v>
      </x:c>
      <x:c r="B56" s="57" t="str">
        <x:v>Calendar</x:v>
      </x:c>
      <x:c r="C56" s="59" t="str">
        <x:v>Year</x:v>
      </x:c>
      <x:c r="D56" s="57" t="str">
        <x:v>No</x:v>
      </x:c>
      <x:c r="E56" s="57" t="str">
        <x:v>Yes</x:v>
      </x:c>
      <x:c r="F56" s="59" t="str">
        <x:v>Derived date, time-window, age, or delinquency measure.</x:v>
      </x:c>
    </x:row>
    <x:row r="57" ht="15" customHeight="1">
      <x:c r="A57" s="57" t="str">
        <x:v>Column</x:v>
      </x:c>
      <x:c r="B57" s="57" t="str">
        <x:v>Calendar</x:v>
      </x:c>
      <x:c r="C57" s="59" t="str">
        <x:v>Month</x:v>
      </x:c>
      <x:c r="D57" s="57" t="str">
        <x:v>No</x:v>
      </x:c>
      <x:c r="E57" s="57" t="str">
        <x:v>Yes</x:v>
      </x:c>
      <x:c r="F57" s="59" t="str">
        <x:v>Derived date, time-window, age, or delinquency measure.</x:v>
      </x:c>
    </x:row>
    <x:row r="58" ht="15" customHeight="1">
      <x:c r="A58" s="57" t="str">
        <x:v>Column</x:v>
      </x:c>
      <x:c r="B58" s="57" t="str">
        <x:v>Calendar</x:v>
      </x:c>
      <x:c r="C58" s="59" t="str">
        <x:v>Month Name</x:v>
      </x:c>
      <x:c r="D58" s="57" t="str">
        <x:v>No</x:v>
      </x:c>
      <x:c r="E58" s="57" t="str">
        <x:v>Yes</x:v>
      </x:c>
      <x:c r="F58" s="59" t="str">
        <x:v>Derived date, time-window, age, or delinquency measure.</x:v>
      </x:c>
    </x:row>
    <x:row r="59" ht="15" customHeight="1">
      <x:c r="A59" s="57" t="str">
        <x:v>Column</x:v>
      </x:c>
      <x:c r="B59" s="57" t="str">
        <x:v>Calendar</x:v>
      </x:c>
      <x:c r="C59" s="59" t="str">
        <x:v>Year Month</x:v>
      </x:c>
      <x:c r="D59" s="57" t="str">
        <x:v>No</x:v>
      </x:c>
      <x:c r="E59" s="57" t="str">
        <x:v>Yes</x:v>
      </x:c>
      <x:c r="F59" s="59" t="str">
        <x:v>Derived date, time-window, age, or delinquency measure.</x:v>
      </x:c>
    </x:row>
    <x:row r="60" ht="15" customHeight="1">
      <x:c r="A60" s="57" t="str">
        <x:v>Column</x:v>
      </x:c>
      <x:c r="B60" s="57" t="str">
        <x:v>Calendar</x:v>
      </x:c>
      <x:c r="C60" s="59" t="str">
        <x:v>Week</x:v>
      </x:c>
      <x:c r="D60" s="57" t="str">
        <x:v>No</x:v>
      </x:c>
      <x:c r="E60" s="57" t="str">
        <x:v>Yes</x:v>
      </x:c>
      <x:c r="F60" s="59" t="str">
        <x:v>Derived date, time-window, age, or delinquency measure.</x:v>
      </x:c>
    </x:row>
    <x:row r="61" ht="15" customHeight="1">
      <x:c r="A61" s="57" t="str">
        <x:v>Column</x:v>
      </x:c>
      <x:c r="B61" s="57" t="str">
        <x:v>Calendar</x:v>
      </x:c>
      <x:c r="C61" s="59" t="str">
        <x:v>Year Week</x:v>
      </x:c>
      <x:c r="D61" s="57" t="str">
        <x:v>No</x:v>
      </x:c>
      <x:c r="E61" s="57" t="str">
        <x:v>Yes</x:v>
      </x:c>
      <x:c r="F61" s="59" t="str">
        <x:v>Derived date, time-window, age, or delinquency measure.</x:v>
      </x:c>
    </x:row>
    <x:row r="62" ht="15" customHeight="1">
      <x:c r="A62" s="57" t="str">
        <x:v>Column</x:v>
      </x:c>
      <x:c r="B62" s="57" t="str">
        <x:v>Calendar</x:v>
      </x:c>
      <x:c r="C62" s="59" t="str">
        <x:v>Week Start</x:v>
      </x:c>
      <x:c r="D62" s="57" t="str">
        <x:v>No</x:v>
      </x:c>
      <x:c r="E62" s="57" t="str">
        <x:v>Yes</x:v>
      </x:c>
      <x:c r="F62" s="59" t="str">
        <x:v>Derived date, time-window, age, or delinquency measure.</x:v>
      </x:c>
    </x:row>
    <x:row r="63" ht="15" customHeight="1">
      <x:c r="A63" s="57" t="str">
        <x:v>Column</x:v>
      </x:c>
      <x:c r="B63" s="57" t="str">
        <x:v>Calendar</x:v>
      </x:c>
      <x:c r="C63" s="59" t="str">
        <x:v>Quarter</x:v>
      </x:c>
      <x:c r="D63" s="57" t="str">
        <x:v>No</x:v>
      </x:c>
      <x:c r="E63" s="57" t="str">
        <x:v>Yes</x:v>
      </x:c>
      <x:c r="F63" s="59" t="str">
        <x:v>Derived AppSheet value used by the app workflow, presentation, or reporting model.</x:v>
      </x:c>
    </x:row>
    <x:row r="64" ht="15" customHeight="1">
      <x:c r="A64" s="57" t="str">
        <x:v>Column</x:v>
      </x:c>
      <x:c r="B64" s="57" t="str">
        <x:v>Calendar</x:v>
      </x:c>
      <x:c r="C64" s="59" t="str">
        <x:v>Day of Week</x:v>
      </x:c>
      <x:c r="D64" s="57" t="str">
        <x:v>No</x:v>
      </x:c>
      <x:c r="E64" s="57" t="str">
        <x:v>Yes</x:v>
      </x:c>
      <x:c r="F64" s="59" t="str">
        <x:v>Derived date, time-window, age, or delinquency measure.</x:v>
      </x:c>
    </x:row>
    <x:row r="65" ht="15" customHeight="1">
      <x:c r="A65" s="57" t="str">
        <x:v>Column</x:v>
      </x:c>
      <x:c r="B65" s="57" t="str">
        <x:v>Calendar</x:v>
      </x:c>
      <x:c r="C65" s="59" t="str">
        <x:v>Day of Month</x:v>
      </x:c>
      <x:c r="D65" s="57" t="str">
        <x:v>No</x:v>
      </x:c>
      <x:c r="E65" s="57" t="str">
        <x:v>Yes</x:v>
      </x:c>
      <x:c r="F65" s="59" t="str">
        <x:v>Derived date, time-window, age, or delinquency measure.</x:v>
      </x:c>
    </x:row>
    <x:row r="66" ht="15" customHeight="1">
      <x:c r="A66" s="57" t="str">
        <x:v>Column</x:v>
      </x:c>
      <x:c r="B66" s="57" t="str">
        <x:v>Calendar</x:v>
      </x:c>
      <x:c r="C66" s="59" t="str">
        <x:v>Assessment Installment Contract Principal Due</x:v>
      </x:c>
      <x:c r="D66" s="57" t="str">
        <x:v>No</x:v>
      </x:c>
      <x:c r="E66" s="57" t="str">
        <x:v>Yes</x:v>
      </x:c>
      <x:c r="F66" s="59" t="str">
        <x:v>Whole-baht scheduled principal for the candidate Calendar date; FLOOR base plus one baht on the earliest remainder days.</x:v>
      </x:c>
    </x:row>
    <x:row r="67" ht="15" customHeight="1">
      <x:c r="A67" s="57" t="str">
        <x:v>Column</x:v>
      </x:c>
      <x:c r="B67" s="57" t="str">
        <x:v>Calendar</x:v>
      </x:c>
      <x:c r="C67" s="59" t="str">
        <x:v>Assessment Installment Future Principal Due</x:v>
      </x:c>
      <x:c r="D67" s="57" t="str">
        <x:v>No</x:v>
      </x:c>
      <x:c r="E67" s="57" t="str">
        <x:v>Yes</x:v>
      </x:c>
      <x:c r="F67" s="59" t="str">
        <x:v>Whole-baht scheduled principal after each loan's latest posted Charge through its Due Date.</x:v>
      </x:c>
    </x:row>
    <x:row r="68" ht="15" customHeight="1">
      <x:c r="A68" s="57" t="str">
        <x:v>Column</x:v>
      </x:c>
      <x:c r="B68" s="57" t="str">
        <x:v>Calendar</x:v>
      </x:c>
      <x:c r="C68" s="59" t="str">
        <x:v>Assessment Installment Future Interest Due</x:v>
      </x:c>
      <x:c r="D68" s="57" t="str">
        <x:v>No</x:v>
      </x:c>
      <x:c r="E68" s="57" t="str">
        <x:v>Yes</x:v>
      </x:c>
      <x:c r="F68" s="59" t="str">
        <x:v>Scheduled daily-installment payment after the latest Charge minus future scheduled principal; Transfer Fee excluded.</x:v>
      </x:c>
    </x:row>
    <x:row r="69" ht="15" customHeight="1">
      <x:c r="A69" s="57" t="str">
        <x:v>Column</x:v>
      </x:c>
      <x:c r="B69" s="57" t="str">
        <x:v>Calendar</x:v>
      </x:c>
      <x:c r="C69" s="59" t="str">
        <x:v>Assessment Installment Contract Outstanding</x:v>
      </x:c>
      <x:c r="D69" s="57" t="str">
        <x:v>No</x:v>
      </x:c>
      <x:c r="E69" s="57" t="str">
        <x:v>Yes</x:v>
      </x:c>
      <x:c r="F69" s="59" t="str">
        <x:v>Nonnegative deterministic daily-installment contract balance after cumulative scheduled principal through the Calendar date.</x:v>
      </x:c>
    </x:row>
    <x:row r="70" ht="15" customHeight="1">
      <x:c r="A70" s="57" t="str">
        <x:v>Column</x:v>
      </x:c>
      <x:c r="B70" s="57" t="str">
        <x:v>Cash Pool Contributions</x:v>
      </x:c>
      <x:c r="C70" s="59" t="str">
        <x:v>_RowNumber</x:v>
      </x:c>
      <x:c r="D70" s="57" t="str">
        <x:v>No</x:v>
      </x:c>
      <x:c r="E70" s="57" t="str">
        <x:v>Yes</x:v>
      </x:c>
      <x:c r="F70" s="59" t="str">
        <x:v>System-generated source-row ordinal; not a stable business key.</x:v>
      </x:c>
    </x:row>
    <x:row r="71" ht="15" customHeight="1">
      <x:c r="A71" s="57" t="str">
        <x:v>Column</x:v>
      </x:c>
      <x:c r="B71" s="57" t="str">
        <x:v>Cash Pool Contributions</x:v>
      </x:c>
      <x:c r="C71" s="59" t="str">
        <x:v>Row ID</x:v>
      </x:c>
      <x:c r="D71" s="57" t="str">
        <x:v>No</x:v>
      </x:c>
      <x:c r="E71" s="57" t="str">
        <x:v>Yes</x:v>
      </x:c>
      <x:c r="F71" s="59" t="str">
        <x:v>Immutable row key generated by the source database.</x:v>
      </x:c>
    </x:row>
    <x:row r="72" ht="15" customHeight="1">
      <x:c r="A72" s="57" t="str">
        <x:v>Column</x:v>
      </x:c>
      <x:c r="B72" s="57" t="str">
        <x:v>Cash Pool Contributions</x:v>
      </x:c>
      <x:c r="C72" s="59" t="str">
        <x:v>Ref Partner</x:v>
      </x:c>
      <x:c r="D72" s="57" t="str">
        <x:v>No</x:v>
      </x:c>
      <x:c r="E72" s="57" t="str">
        <x:v>Yes</x:v>
      </x:c>
      <x:c r="F72" s="59" t="str">
        <x:v>Reference key that links this row to the configured parent table.</x:v>
      </x:c>
    </x:row>
    <x:row r="73" ht="15" customHeight="1">
      <x:c r="A73" s="57" t="str">
        <x:v>Column</x:v>
      </x:c>
      <x:c r="B73" s="57" t="str">
        <x:v>Cash Pool Contributions</x:v>
      </x:c>
      <x:c r="C73" s="59" t="str">
        <x:v>Contribution Date</x:v>
      </x:c>
      <x:c r="D73" s="57" t="str">
        <x:v>No</x:v>
      </x:c>
      <x:c r="E73" s="57" t="str">
        <x:v>Yes</x:v>
      </x:c>
      <x:c r="F73" s="59" t="str">
        <x:v>Stores the source date for Contribution Date.</x:v>
      </x:c>
    </x:row>
    <x:row r="74" ht="15" customHeight="1">
      <x:c r="A74" s="57" t="str">
        <x:v>Column</x:v>
      </x:c>
      <x:c r="B74" s="57" t="str">
        <x:v>Cash Pool Contributions</x:v>
      </x:c>
      <x:c r="C74" s="59" t="str">
        <x:v>Transaction Type</x:v>
      </x:c>
      <x:c r="D74" s="57" t="str">
        <x:v>No</x:v>
      </x:c>
      <x:c r="E74" s="57" t="str">
        <x:v>Yes</x:v>
      </x:c>
      <x:c r="F74" s="59" t="str">
        <x:v>Stores the authoritative source value for Transaction Type.</x:v>
      </x:c>
    </x:row>
    <x:row r="75" ht="15" customHeight="1">
      <x:c r="A75" s="57" t="str">
        <x:v>Column</x:v>
      </x:c>
      <x:c r="B75" s="57" t="str">
        <x:v>Cash Pool Contributions</x:v>
      </x:c>
      <x:c r="C75" s="59" t="str">
        <x:v>Amount</x:v>
      </x:c>
      <x:c r="D75" s="57" t="str">
        <x:v>No</x:v>
      </x:c>
      <x:c r="E75" s="57" t="str">
        <x:v>Yes</x:v>
      </x:c>
      <x:c r="F75" s="59" t="str">
        <x:v>Stores the financially material source value for Amount.</x:v>
      </x:c>
    </x:row>
    <x:row r="76" ht="15" customHeight="1">
      <x:c r="A76" s="57" t="str">
        <x:v>Column</x:v>
      </x:c>
      <x:c r="B76" s="57" t="str">
        <x:v>Cash Pool Contributions</x:v>
      </x:c>
      <x:c r="C76" s="59" t="str">
        <x:v>Notes</x:v>
      </x:c>
      <x:c r="D76" s="57" t="str">
        <x:v>No</x:v>
      </x:c>
      <x:c r="E76" s="57" t="str">
        <x:v>Yes</x:v>
      </x:c>
      <x:c r="F76" s="59" t="str">
        <x:v>Stores the authoritative source value for Notes.</x:v>
      </x:c>
    </x:row>
    <x:row r="77" ht="15" customHeight="1">
      <x:c r="A77" s="57" t="str">
        <x:v>Column</x:v>
      </x:c>
      <x:c r="B77" s="57" t="str">
        <x:v>Cash Pool Contributions</x:v>
      </x:c>
      <x:c r="C77" s="59" t="str">
        <x:v>Net Contribution</x:v>
      </x:c>
      <x:c r="D77" s="57" t="str">
        <x:v>No</x:v>
      </x:c>
      <x:c r="E77" s="57" t="str">
        <x:v>Yes</x:v>
      </x:c>
      <x:c r="F77" s="59" t="str">
        <x:v>Derived financial aggregate or balance for operational or analytical use.</x:v>
      </x:c>
    </x:row>
    <x:row r="78" ht="15" customHeight="1">
      <x:c r="A78" s="57" t="str">
        <x:v>Column</x:v>
      </x:c>
      <x:c r="B78" s="57" t="str">
        <x:v>Cash Pool Contributions</x:v>
      </x:c>
      <x:c r="C78" s="59" t="str">
        <x:v>Transaction Type TE</x:v>
      </x:c>
      <x:c r="D78" s="57" t="str">
        <x:v>No</x:v>
      </x:c>
      <x:c r="E78" s="57" t="str">
        <x:v>Yes</x:v>
      </x:c>
      <x:c r="F78" s="59" t="str">
        <x:v>Presentation-oriented label or bilingual display value.</x:v>
      </x:c>
    </x:row>
    <x:row r="79" ht="15" customHeight="1">
      <x:c r="A79" s="57" t="str">
        <x:v>Column</x:v>
      </x:c>
      <x:c r="B79" s="57" t="str">
        <x:v>Charges</x:v>
      </x:c>
      <x:c r="C79" s="59" t="str">
        <x:v>Last Payment Date</x:v>
      </x:c>
      <x:c r="D79" s="57" t="str">
        <x:v>No</x:v>
      </x:c>
      <x:c r="E79" s="57" t="str">
        <x:v>Yes</x:v>
      </x:c>
      <x:c r="F79" s="59" t="str">
        <x:v>Derived date, time-window, age, or delinquency measure.</x:v>
      </x:c>
    </x:row>
    <x:row r="80" ht="15" customHeight="1">
      <x:c r="A80" s="57" t="str">
        <x:v>Column</x:v>
      </x:c>
      <x:c r="B80" s="57" t="str">
        <x:v>Charges</x:v>
      </x:c>
      <x:c r="C80" s="59" t="str">
        <x:v>First Payment Date</x:v>
      </x:c>
      <x:c r="D80" s="57" t="str">
        <x:v>No</x:v>
      </x:c>
      <x:c r="E80" s="57" t="str">
        <x:v>Yes</x:v>
      </x:c>
      <x:c r="F80" s="59" t="str">
        <x:v>Derived date, time-window, age, or delinquency measure.</x:v>
      </x:c>
    </x:row>
    <x:row r="81" ht="15" customHeight="1">
      <x:c r="A81" s="57" t="str">
        <x:v>Column</x:v>
      </x:c>
      <x:c r="B81" s="57" t="str">
        <x:v>Charges</x:v>
      </x:c>
      <x:c r="C81" s="59" t="str">
        <x:v>Days Late</x:v>
      </x:c>
      <x:c r="D81" s="57" t="str">
        <x:v>No</x:v>
      </x:c>
      <x:c r="E81" s="57" t="str">
        <x:v>Yes</x:v>
      </x:c>
      <x:c r="F81" s="59" t="str">
        <x:v>Derived business-state or risk indicator.</x:v>
      </x:c>
    </x:row>
    <x:row r="82" ht="15" customHeight="1">
      <x:c r="A82" s="57" t="str">
        <x:v>Column</x:v>
      </x:c>
      <x:c r="B82" s="57" t="str">
        <x:v>Charges</x:v>
      </x:c>
      <x:c r="C82" s="59" t="str">
        <x:v>Historical On Time</x:v>
      </x:c>
      <x:c r="D82" s="57" t="str">
        <x:v>No</x:v>
      </x:c>
      <x:c r="E82" s="57" t="str">
        <x:v>Yes</x:v>
      </x:c>
      <x:c r="F82" s="59" t="str">
        <x:v>Derived business-state or risk indicator.</x:v>
      </x:c>
    </x:row>
    <x:row r="83" ht="15" customHeight="1">
      <x:c r="A83" s="57" t="str">
        <x:v>Column</x:v>
      </x:c>
      <x:c r="B83" s="57" t="str">
        <x:v>Charges</x:v>
      </x:c>
      <x:c r="C83" s="59" t="str">
        <x:v>Historical Late</x:v>
      </x:c>
      <x:c r="D83" s="57" t="str">
        <x:v>No</x:v>
      </x:c>
      <x:c r="E83" s="57" t="str">
        <x:v>Yes</x:v>
      </x:c>
      <x:c r="F83" s="59" t="str">
        <x:v>Derived business-state or risk indicator.</x:v>
      </x:c>
    </x:row>
    <x:row r="84" ht="15" customHeight="1">
      <x:c r="A84" s="57" t="str">
        <x:v>Column</x:v>
      </x:c>
      <x:c r="B84" s="57" t="str">
        <x:v>Charges</x:v>
      </x:c>
      <x:c r="C84" s="59" t="str">
        <x:v>Payment Count</x:v>
      </x:c>
      <x:c r="D84" s="57" t="str">
        <x:v>Yes</x:v>
      </x:c>
      <x:c r="E84" s="57" t="str">
        <x:v>No</x:v>
      </x:c>
      <x:c r="F84" s="59" t="str">
        <x:v>Derived count used for workload, portfolio, or risk analysis.</x:v>
      </x:c>
    </x:row>
    <x:row r="85" ht="15" customHeight="1">
      <x:c r="A85" s="57" t="str">
        <x:v>Column</x:v>
      </x:c>
      <x:c r="B85" s="57" t="str">
        <x:v>Charges</x:v>
      </x:c>
      <x:c r="C85" s="59" t="str">
        <x:v>Days Outstanding</x:v>
      </x:c>
      <x:c r="D85" s="57" t="str">
        <x:v>Yes</x:v>
      </x:c>
      <x:c r="E85" s="57" t="str">
        <x:v>No</x:v>
      </x:c>
      <x:c r="F85" s="59" t="str">
        <x:v>Derived date, time-window, age, or delinquency measure.</x:v>
      </x:c>
    </x:row>
    <x:row r="86" ht="15" customHeight="1">
      <x:c r="A86" s="57" t="str">
        <x:v>Column</x:v>
      </x:c>
      <x:c r="B86" s="57" t="str">
        <x:v>Daily Analytics</x:v>
      </x:c>
      <x:c r="C86" s="59" t="str">
        <x:v>_RowNumber</x:v>
      </x:c>
      <x:c r="D86" s="57" t="str">
        <x:v>No</x:v>
      </x:c>
      <x:c r="E86" s="57" t="str">
        <x:v>Yes</x:v>
      </x:c>
      <x:c r="F86" s="59" t="str">
        <x:v>System-generated source-row ordinal; not a stable business key.</x:v>
      </x:c>
    </x:row>
    <x:row r="87" ht="15" customHeight="1">
      <x:c r="A87" s="57" t="str">
        <x:v>Column</x:v>
      </x:c>
      <x:c r="B87" s="57" t="str">
        <x:v>Daily Analytics</x:v>
      </x:c>
      <x:c r="C87" s="59" t="str">
        <x:v>Row ID</x:v>
      </x:c>
      <x:c r="D87" s="57" t="str">
        <x:v>No</x:v>
      </x:c>
      <x:c r="E87" s="57" t="str">
        <x:v>Yes</x:v>
      </x:c>
      <x:c r="F87" s="59" t="str">
        <x:v>Immutable row key generated by the source database.</x:v>
      </x:c>
    </x:row>
    <x:row r="88" ht="15" customHeight="1">
      <x:c r="A88" s="57" t="str">
        <x:v>Column</x:v>
      </x:c>
      <x:c r="B88" s="57" t="str">
        <x:v>Daily Analytics</x:v>
      </x:c>
      <x:c r="C88" s="59" t="str">
        <x:v>Snapshot Date</x:v>
      </x:c>
      <x:c r="D88" s="57" t="str">
        <x:v>No</x:v>
      </x:c>
      <x:c r="E88" s="57" t="str">
        <x:v>Yes</x:v>
      </x:c>
      <x:c r="F88" s="59" t="str">
        <x:v>Stores the source date for Snapshot Date.</x:v>
      </x:c>
    </x:row>
    <x:row r="89" ht="15" customHeight="1">
      <x:c r="A89" s="57" t="str">
        <x:v>Column</x:v>
      </x:c>
      <x:c r="B89" s="57" t="str">
        <x:v>Daily Analytics</x:v>
      </x:c>
      <x:c r="C89" s="59" t="str">
        <x:v>Generated At</x:v>
      </x:c>
      <x:c r="D89" s="57" t="str">
        <x:v>No</x:v>
      </x:c>
      <x:c r="E89" s="57" t="str">
        <x:v>Yes</x:v>
      </x:c>
      <x:c r="F89" s="59" t="str">
        <x:v>Stores the authoritative source value for Generated At.</x:v>
      </x:c>
    </x:row>
    <x:row r="90" ht="15" customHeight="1">
      <x:c r="A90" s="57" t="str">
        <x:v>Column</x:v>
      </x:c>
      <x:c r="B90" s="57" t="str">
        <x:v>Daily Analytics</x:v>
      </x:c>
      <x:c r="C90" s="59" t="str">
        <x:v>Model Version</x:v>
      </x:c>
      <x:c r="D90" s="57" t="str">
        <x:v>No</x:v>
      </x:c>
      <x:c r="E90" s="57" t="str">
        <x:v>Yes</x:v>
      </x:c>
      <x:c r="F90" s="59" t="str">
        <x:v>Stores the authoritative source value for Model Version.</x:v>
      </x:c>
    </x:row>
    <x:row r="91" ht="15" customHeight="1">
      <x:c r="A91" s="57" t="str">
        <x:v>Column</x:v>
      </x:c>
      <x:c r="B91" s="57" t="str">
        <x:v>Daily Analytics</x:v>
      </x:c>
      <x:c r="C91" s="59" t="str">
        <x:v>Principal Issued</x:v>
      </x:c>
      <x:c r="D91" s="57" t="str">
        <x:v>No</x:v>
      </x:c>
      <x:c r="E91" s="57" t="str">
        <x:v>Yes</x:v>
      </x:c>
      <x:c r="F91" s="59" t="str">
        <x:v>Stores the financially material source value for Principal Issued.</x:v>
      </x:c>
    </x:row>
    <x:row r="92" ht="15" customHeight="1">
      <x:c r="A92" s="57" t="str">
        <x:v>Column</x:v>
      </x:c>
      <x:c r="B92" s="57" t="str">
        <x:v>Daily Analytics</x:v>
      </x:c>
      <x:c r="C92" s="59" t="str">
        <x:v>Loans Issued</x:v>
      </x:c>
      <x:c r="D92" s="57" t="str">
        <x:v>No</x:v>
      </x:c>
      <x:c r="E92" s="57" t="str">
        <x:v>Yes</x:v>
      </x:c>
      <x:c r="F92" s="59" t="str">
        <x:v>Stores the authoritative source value for Loans Issued.</x:v>
      </x:c>
    </x:row>
    <x:row r="93" ht="15" customHeight="1">
      <x:c r="A93" s="57" t="str">
        <x:v>Column</x:v>
      </x:c>
      <x:c r="B93" s="57" t="str">
        <x:v>Daily Analytics</x:v>
      </x:c>
      <x:c r="C93" s="59" t="str">
        <x:v>Principal Returned</x:v>
      </x:c>
      <x:c r="D93" s="57" t="str">
        <x:v>No</x:v>
      </x:c>
      <x:c r="E93" s="57" t="str">
        <x:v>Yes</x:v>
      </x:c>
      <x:c r="F93" s="59" t="str">
        <x:v>Stores the financially material source value for Principal Returned.</x:v>
      </x:c>
    </x:row>
    <x:row r="94" ht="15" customHeight="1">
      <x:c r="A94" s="57" t="str">
        <x:v>Column</x:v>
      </x:c>
      <x:c r="B94" s="57" t="str">
        <x:v>Daily Analytics</x:v>
      </x:c>
      <x:c r="C94" s="59" t="str">
        <x:v>Interest Received</x:v>
      </x:c>
      <x:c r="D94" s="57" t="str">
        <x:v>No</x:v>
      </x:c>
      <x:c r="E94" s="57" t="str">
        <x:v>Yes</x:v>
      </x:c>
      <x:c r="F94" s="59" t="str">
        <x:v>Stores the financially material source value for Interest Received.</x:v>
      </x:c>
    </x:row>
    <x:row r="95" ht="15" customHeight="1">
      <x:c r="A95" s="57" t="str">
        <x:v>Column</x:v>
      </x:c>
      <x:c r="B95" s="57" t="str">
        <x:v>Daily Analytics</x:v>
      </x:c>
      <x:c r="C95" s="59" t="str">
        <x:v>Repayments Count</x:v>
      </x:c>
      <x:c r="D95" s="57" t="str">
        <x:v>No</x:v>
      </x:c>
      <x:c r="E95" s="57" t="str">
        <x:v>Yes</x:v>
      </x:c>
      <x:c r="F95" s="59" t="str">
        <x:v>Stores the authoritative source value for Repayments Count.</x:v>
      </x:c>
    </x:row>
    <x:row r="96" ht="15" customHeight="1">
      <x:c r="A96" s="57" t="str">
        <x:v>Column</x:v>
      </x:c>
      <x:c r="B96" s="57" t="str">
        <x:v>Daily Analytics</x:v>
      </x:c>
      <x:c r="C96" s="59" t="str">
        <x:v>Outstanding Principal EOD</x:v>
      </x:c>
      <x:c r="D96" s="57" t="str">
        <x:v>No</x:v>
      </x:c>
      <x:c r="E96" s="57" t="str">
        <x:v>Yes</x:v>
      </x:c>
      <x:c r="F96" s="59" t="str">
        <x:v>Stores the financially material source value for Outstanding Principal EOD.</x:v>
      </x:c>
    </x:row>
    <x:row r="97" ht="15" customHeight="1">
      <x:c r="A97" s="57" t="str">
        <x:v>Column</x:v>
      </x:c>
      <x:c r="B97" s="57" t="str">
        <x:v>Daily Analytics</x:v>
      </x:c>
      <x:c r="C97" s="59" t="str">
        <x:v>Active Loans EOD</x:v>
      </x:c>
      <x:c r="D97" s="57" t="str">
        <x:v>No</x:v>
      </x:c>
      <x:c r="E97" s="57" t="str">
        <x:v>Yes</x:v>
      </x:c>
      <x:c r="F97" s="59" t="str">
        <x:v>Stores the authoritative source value for Active Loans EOD.</x:v>
      </x:c>
    </x:row>
    <x:row r="98" ht="15" customHeight="1">
      <x:c r="A98" s="57" t="str">
        <x:v>Column</x:v>
      </x:c>
      <x:c r="B98" s="57" t="str">
        <x:v>Daily Analytics</x:v>
      </x:c>
      <x:c r="C98" s="59" t="str">
        <x:v>Active Borrowers EOD</x:v>
      </x:c>
      <x:c r="D98" s="57" t="str">
        <x:v>No</x:v>
      </x:c>
      <x:c r="E98" s="57" t="str">
        <x:v>Yes</x:v>
      </x:c>
      <x:c r="F98" s="59" t="str">
        <x:v>Stores the authoritative source value for Active Borrowers EOD.</x:v>
      </x:c>
    </x:row>
    <x:row r="99" ht="15" customHeight="1">
      <x:c r="A99" s="57" t="str">
        <x:v>Column</x:v>
      </x:c>
      <x:c r="B99" s="57" t="str">
        <x:v>Daily Analytics</x:v>
      </x:c>
      <x:c r="C99" s="59" t="str">
        <x:v>Pending Charges EOD</x:v>
      </x:c>
      <x:c r="D99" s="57" t="str">
        <x:v>No</x:v>
      </x:c>
      <x:c r="E99" s="57" t="str">
        <x:v>Yes</x:v>
      </x:c>
      <x:c r="F99" s="59" t="str">
        <x:v>Stores the authoritative source value for Pending Charges EOD.</x:v>
      </x:c>
    </x:row>
    <x:row r="100" ht="15" customHeight="1">
      <x:c r="A100" s="57" t="str">
        <x:v>Column</x:v>
      </x:c>
      <x:c r="B100" s="57" t="str">
        <x:v>Daily Analytics</x:v>
      </x:c>
      <x:c r="C100" s="59" t="str">
        <x:v>Total Cash Pool EOD</x:v>
      </x:c>
      <x:c r="D100" s="57" t="str">
        <x:v>No</x:v>
      </x:c>
      <x:c r="E100" s="57" t="str">
        <x:v>Yes</x:v>
      </x:c>
      <x:c r="F100" s="59" t="str">
        <x:v>Stores the financially material source value for Total Cash Pool EOD.</x:v>
      </x:c>
    </x:row>
    <x:row r="101" ht="15" customHeight="1">
      <x:c r="A101" s="57" t="str">
        <x:v>Column</x:v>
      </x:c>
      <x:c r="B101" s="57" t="str">
        <x:v>Daily Analytics</x:v>
      </x:c>
      <x:c r="C101" s="59" t="str">
        <x:v>Available Cash EOD</x:v>
      </x:c>
      <x:c r="D101" s="57" t="str">
        <x:v>No</x:v>
      </x:c>
      <x:c r="E101" s="57" t="str">
        <x:v>Yes</x:v>
      </x:c>
      <x:c r="F101" s="59" t="str">
        <x:v>Stores the financially material source value for Available Cash EOD.</x:v>
      </x:c>
    </x:row>
    <x:row r="102" ht="15" customHeight="1">
      <x:c r="A102" s="57" t="str">
        <x:v>Column</x:v>
      </x:c>
      <x:c r="B102" s="57" t="str">
        <x:v>Daily Analytics</x:v>
      </x:c>
      <x:c r="C102" s="59" t="str">
        <x:v>Unsettled Profit EOD</x:v>
      </x:c>
      <x:c r="D102" s="57" t="str">
        <x:v>No</x:v>
      </x:c>
      <x:c r="E102" s="57" t="str">
        <x:v>Yes</x:v>
      </x:c>
      <x:c r="F102" s="59" t="str">
        <x:v>Stores the financially material source value for Unsettled Profit EOD.</x:v>
      </x:c>
    </x:row>
    <x:row r="103" ht="15" customHeight="1">
      <x:c r="A103" s="57" t="str">
        <x:v>Column</x:v>
      </x:c>
      <x:c r="B103" s="57" t="str">
        <x:v>Daily Analytics</x:v>
      </x:c>
      <x:c r="C103" s="59" t="str">
        <x:v>Week</x:v>
      </x:c>
      <x:c r="D103" s="57" t="str">
        <x:v>No</x:v>
      </x:c>
      <x:c r="E103" s="57" t="str">
        <x:v>Yes</x:v>
      </x:c>
      <x:c r="F103" s="59" t="str">
        <x:v>Derived date, time-window, age, or delinquency measure.</x:v>
      </x:c>
    </x:row>
    <x:row r="104" ht="15" customHeight="1">
      <x:c r="A104" s="57" t="str">
        <x:v>Column</x:v>
      </x:c>
      <x:c r="B104" s="57" t="str">
        <x:v>Daily Analytics</x:v>
      </x:c>
      <x:c r="C104" s="59" t="str">
        <x:v>Month</x:v>
      </x:c>
      <x:c r="D104" s="57" t="str">
        <x:v>No</x:v>
      </x:c>
      <x:c r="E104" s="57" t="str">
        <x:v>Yes</x:v>
      </x:c>
      <x:c r="F104" s="59" t="str">
        <x:v>Derived date, time-window, age, or delinquency measure.</x:v>
      </x:c>
    </x:row>
    <x:row r="105" ht="15" customHeight="1">
      <x:c r="A105" s="57" t="str">
        <x:v>Column</x:v>
      </x:c>
      <x:c r="B105" s="57" t="str">
        <x:v>Daily Analytics</x:v>
      </x:c>
      <x:c r="C105" s="59" t="str">
        <x:v>Daily Capital Employed</x:v>
      </x:c>
      <x:c r="D105" s="57" t="str">
        <x:v>No</x:v>
      </x:c>
      <x:c r="E105" s="57" t="str">
        <x:v>Yes</x:v>
      </x:c>
      <x:c r="F105" s="59" t="str">
        <x:v>Derived AppSheet value used by the app workflow, presentation, or reporting model.</x:v>
      </x:c>
    </x:row>
    <x:row r="106" ht="15" customHeight="1">
      <x:c r="A106" s="57" t="str">
        <x:v>Column</x:v>
      </x:c>
      <x:c r="B106" s="57" t="str">
        <x:v>Daily Analytics</x:v>
      </x:c>
      <x:c r="C106" s="59" t="str">
        <x:v>Daily Capital Yield</x:v>
      </x:c>
      <x:c r="D106" s="57" t="str">
        <x:v>No</x:v>
      </x:c>
      <x:c r="E106" s="57" t="str">
        <x:v>Yes</x:v>
      </x:c>
      <x:c r="F106" s="59" t="str">
        <x:v>Derived ratio or performance measure calculated from governed source values.</x:v>
      </x:c>
    </x:row>
    <x:row r="107" ht="15" customHeight="1">
      <x:c r="A107" s="57" t="str">
        <x:v>Column</x:v>
      </x:c>
      <x:c r="B107" s="57" t="str">
        <x:v>Daily Analytics</x:v>
      </x:c>
      <x:c r="C107" s="59" t="str">
        <x:v>Portfolio Share Join Key</x:v>
      </x:c>
      <x:c r="D107" s="57" t="str">
        <x:v>No</x:v>
      </x:c>
      <x:c r="E107" s="57" t="str">
        <x:v>Yes</x:v>
      </x:c>
      <x:c r="F107" s="59" t="str">
        <x:v>Derived grouping, ordering, or join value used by reporting or app presentation.</x:v>
      </x:c>
    </x:row>
    <x:row r="108" ht="15" customHeight="1">
      <x:c r="A108" s="57" t="str">
        <x:v>Column</x:v>
      </x:c>
      <x:c r="B108" s="57" t="str">
        <x:v>Daily Analytics</x:v>
      </x:c>
      <x:c r="C108" s="59" t="str">
        <x:v>Portfolio Slice</x:v>
      </x:c>
      <x:c r="D108" s="57" t="str">
        <x:v>No</x:v>
      </x:c>
      <x:c r="E108" s="57" t="str">
        <x:v>Yes</x:v>
      </x:c>
      <x:c r="F108" s="59" t="str">
        <x:v>Derived grouping, ordering, or join value used by reporting or app presentation.</x:v>
      </x:c>
    </x:row>
    <x:row r="109" ht="15" customHeight="1">
      <x:c r="A109" s="57" t="str">
        <x:v>Column</x:v>
      </x:c>
      <x:c r="B109" s="57" t="str">
        <x:v>Loan Assessment</x:v>
      </x:c>
      <x:c r="C109" s="59" t="str">
        <x:v>_RowNumber</x:v>
      </x:c>
      <x:c r="D109" s="57" t="str">
        <x:v>No</x:v>
      </x:c>
      <x:c r="E109" s="57" t="str">
        <x:v>Yes</x:v>
      </x:c>
      <x:c r="F109" s="59" t="str">
        <x:v>System-generated source-row ordinal; not a stable business key.</x:v>
      </x:c>
    </x:row>
    <x:row r="110" ht="15" customHeight="1">
      <x:c r="A110" s="57" t="str">
        <x:v>Column</x:v>
      </x:c>
      <x:c r="B110" s="57" t="str">
        <x:v>Loan Assessment</x:v>
      </x:c>
      <x:c r="C110" s="59" t="str">
        <x:v>Row ID</x:v>
      </x:c>
      <x:c r="D110" s="57" t="str">
        <x:v>No</x:v>
      </x:c>
      <x:c r="E110" s="57" t="str">
        <x:v>Yes</x:v>
      </x:c>
      <x:c r="F110" s="59" t="str">
        <x:v>Immutable row key generated by the source database.</x:v>
      </x:c>
    </x:row>
    <x:row r="111" ht="15" customHeight="1">
      <x:c r="A111" s="57" t="str">
        <x:v>Column</x:v>
      </x:c>
      <x:c r="B111" s="57" t="str">
        <x:v>Loan Assessment</x:v>
      </x:c>
      <x:c r="C111" s="59" t="str">
        <x:v>Assessment ID</x:v>
      </x:c>
      <x:c r="D111" s="57" t="str">
        <x:v>No</x:v>
      </x:c>
      <x:c r="E111" s="57" t="str">
        <x:v>Yes</x:v>
      </x:c>
      <x:c r="F111" s="59" t="str">
        <x:v>Stores the authoritative source value for Assessment ID.</x:v>
      </x:c>
    </x:row>
    <x:row r="112" ht="15" customHeight="1">
      <x:c r="A112" s="57" t="str">
        <x:v>Column</x:v>
      </x:c>
      <x:c r="B112" s="57" t="str">
        <x:v>Loan Assessment</x:v>
      </x:c>
      <x:c r="C112" s="59" t="str">
        <x:v>Ref Borrower</x:v>
      </x:c>
      <x:c r="D112" s="57" t="str">
        <x:v>No</x:v>
      </x:c>
      <x:c r="E112" s="57" t="str">
        <x:v>Yes</x:v>
      </x:c>
      <x:c r="F112" s="59" t="str">
        <x:v>Reference key that links this row to the configured parent table.</x:v>
      </x:c>
    </x:row>
    <x:row r="113" ht="15" customHeight="1">
      <x:c r="A113" s="57" t="str">
        <x:v>Column</x:v>
      </x:c>
      <x:c r="B113" s="57" t="str">
        <x:v>Loan Assessment</x:v>
      </x:c>
      <x:c r="C113" s="59" t="str">
        <x:v>Proposed Loan Amount</x:v>
      </x:c>
      <x:c r="D113" s="57" t="str">
        <x:v>No</x:v>
      </x:c>
      <x:c r="E113" s="57" t="str">
        <x:v>Yes</x:v>
      </x:c>
      <x:c r="F113" s="59" t="str">
        <x:v>Stores the financially material source value for Proposed Loan Amount.</x:v>
      </x:c>
    </x:row>
    <x:row r="114" ht="15" customHeight="1">
      <x:c r="A114" s="57" t="str">
        <x:v>Column</x:v>
      </x:c>
      <x:c r="B114" s="57" t="str">
        <x:v>Loan Assessment</x:v>
      </x:c>
      <x:c r="C114" s="59" t="str">
        <x:v>Minimum Daily Profit Rate</x:v>
      </x:c>
      <x:c r="D114" s="57" t="str">
        <x:v>No</x:v>
      </x:c>
      <x:c r="E114" s="57" t="str">
        <x:v>Yes</x:v>
      </x:c>
      <x:c r="F114" s="59" t="str">
        <x:v>Stores the financially material source value for Minimum Daily Profit Rate.</x:v>
      </x:c>
    </x:row>
    <x:row r="115" ht="15" customHeight="1">
      <x:c r="A115" s="57" t="str">
        <x:v>Column</x:v>
      </x:c>
      <x:c r="B115" s="57" t="str">
        <x:v>Loan Assessment</x:v>
      </x:c>
      <x:c r="C115" s="59" t="str">
        <x:v>Current Outstanding Principal</x:v>
      </x:c>
      <x:c r="D115" s="57" t="str">
        <x:v>No</x:v>
      </x:c>
      <x:c r="E115" s="57" t="str">
        <x:v>Yes</x:v>
      </x:c>
      <x:c r="F115" s="59" t="str">
        <x:v>Derived financial aggregate or balance for operational or analytical use.</x:v>
      </x:c>
    </x:row>
    <x:row r="116" ht="15" customHeight="1">
      <x:c r="A116" s="57" t="str">
        <x:v>Column</x:v>
      </x:c>
      <x:c r="B116" s="57" t="str">
        <x:v>Loan Assessment</x:v>
      </x:c>
      <x:c r="C116" s="59" t="str">
        <x:v>Interest Earned from Active Loans</x:v>
      </x:c>
      <x:c r="D116" s="57" t="str">
        <x:v>No</x:v>
      </x:c>
      <x:c r="E116" s="57" t="str">
        <x:v>Yes</x:v>
      </x:c>
      <x:c r="F116" s="59" t="str">
        <x:v>Derived count used for workload, portfolio, or risk analysis.</x:v>
      </x:c>
    </x:row>
    <x:row r="117" ht="15" customHeight="1">
      <x:c r="A117" s="57" t="str">
        <x:v>Column</x:v>
      </x:c>
      <x:c r="B117" s="57" t="str">
        <x:v>Loan Assessment</x:v>
      </x:c>
      <x:c r="C117" s="59" t="str">
        <x:v>Earliest Eligible Date</x:v>
      </x:c>
      <x:c r="D117" s="57" t="str">
        <x:v>No</x:v>
      </x:c>
      <x:c r="E117" s="57" t="str">
        <x:v>Yes</x:v>
      </x:c>
      <x:c r="F117" s="59" t="str">
        <x:v>Derived business-state or risk indicator.</x:v>
      </x:c>
    </x:row>
    <x:row r="118" ht="15" customHeight="1">
      <x:c r="A118" s="57" t="str">
        <x:v>Column</x:v>
      </x:c>
      <x:c r="B118" s="57" t="str">
        <x:v>Loan Assessment</x:v>
      </x:c>
      <x:c r="C118" s="59" t="str">
        <x:v>Days Until Eligible</x:v>
      </x:c>
      <x:c r="D118" s="57" t="str">
        <x:v>No</x:v>
      </x:c>
      <x:c r="E118" s="57" t="str">
        <x:v>Yes</x:v>
      </x:c>
      <x:c r="F118" s="59" t="str">
        <x:v>Derived business-state or risk indicator.</x:v>
      </x:c>
    </x:row>
    <x:row r="119" ht="15" customHeight="1">
      <x:c r="A119" s="57" t="str">
        <x:v>Column</x:v>
      </x:c>
      <x:c r="B119" s="57" t="str">
        <x:v>Loan Assessment</x:v>
      </x:c>
      <x:c r="C119" s="59" t="str">
        <x:v>Projected Interest at Eligible Date</x:v>
      </x:c>
      <x:c r="D119" s="57" t="str">
        <x:v>No</x:v>
      </x:c>
      <x:c r="E119" s="57" t="str">
        <x:v>Yes</x:v>
      </x:c>
      <x:c r="F119" s="59" t="str">
        <x:v>Derived business-state or risk indicator.</x:v>
      </x:c>
    </x:row>
    <x:row r="120" ht="15" customHeight="1">
      <x:c r="A120" s="57" t="str">
        <x:v>Column</x:v>
      </x:c>
      <x:c r="B120" s="57" t="str">
        <x:v>Loan Assessment</x:v>
      </x:c>
      <x:c r="C120" s="59" t="str">
        <x:v>Outstanding Principal at Eligible Date</x:v>
      </x:c>
      <x:c r="D120" s="57" t="str">
        <x:v>No</x:v>
      </x:c>
      <x:c r="E120" s="57" t="str">
        <x:v>Yes</x:v>
      </x:c>
      <x:c r="F120" s="59" t="str">
        <x:v>Derived business-state or risk indicator.</x:v>
      </x:c>
    </x:row>
    <x:row r="121" ht="15" customHeight="1">
      <x:c r="A121" s="57" t="str">
        <x:v>Column</x:v>
      </x:c>
      <x:c r="B121" s="57" t="str">
        <x:v>Loan Assessment</x:v>
      </x:c>
      <x:c r="C121" s="59" t="str">
        <x:v>Minimum Profit at Eligible Date</x:v>
      </x:c>
      <x:c r="D121" s="57" t="str">
        <x:v>No</x:v>
      </x:c>
      <x:c r="E121" s="57" t="str">
        <x:v>Yes</x:v>
      </x:c>
      <x:c r="F121" s="59" t="str">
        <x:v>Derived business-state or risk indicator.</x:v>
      </x:c>
    </x:row>
    <x:row r="122" ht="15" customHeight="1">
      <x:c r="A122" s="57" t="str">
        <x:v>Column</x:v>
      </x:c>
      <x:c r="B122" s="57" t="str">
        <x:v>Loan Assessment</x:v>
      </x:c>
      <x:c r="C122" s="59" t="str">
        <x:v>Required Coverage at Eligible Date</x:v>
      </x:c>
      <x:c r="D122" s="57" t="str">
        <x:v>No</x:v>
      </x:c>
      <x:c r="E122" s="57" t="str">
        <x:v>Yes</x:v>
      </x:c>
      <x:c r="F122" s="59" t="str">
        <x:v>Derived ratio or performance measure calculated from governed source values.</x:v>
      </x:c>
    </x:row>
    <x:row r="123" ht="15" customHeight="1">
      <x:c r="A123" s="57" t="str">
        <x:v>Column</x:v>
      </x:c>
      <x:c r="B123" s="57" t="str">
        <x:v>Loan Assessment</x:v>
      </x:c>
      <x:c r="C123" s="59" t="str">
        <x:v>Safety Margin</x:v>
      </x:c>
      <x:c r="D123" s="57" t="str">
        <x:v>No</x:v>
      </x:c>
      <x:c r="E123" s="57" t="str">
        <x:v>Yes</x:v>
      </x:c>
      <x:c r="F123" s="59" t="str">
        <x:v>Derived AppSheet value used by the app workflow, presentation, or reporting model.</x:v>
      </x:c>
    </x:row>
    <x:row r="124" ht="15" customHeight="1">
      <x:c r="A124" s="57" t="str">
        <x:v>Column</x:v>
      </x:c>
      <x:c r="B124" s="57" t="str">
        <x:v>Loan Assessment</x:v>
      </x:c>
      <x:c r="C124" s="59" t="str">
        <x:v>Current Coverage Margin</x:v>
      </x:c>
      <x:c r="D124" s="57" t="str">
        <x:v>No</x:v>
      </x:c>
      <x:c r="E124" s="57" t="str">
        <x:v>Yes</x:v>
      </x:c>
      <x:c r="F124" s="59" t="str">
        <x:v>Derived ratio or performance measure calculated from governed source values.</x:v>
      </x:c>
    </x:row>
    <x:row r="125" ht="15" customHeight="1">
      <x:c r="A125" s="57" t="str">
        <x:v>Column</x:v>
      </x:c>
      <x:c r="B125" s="57" t="str">
        <x:v>Loan Assessment</x:v>
      </x:c>
      <x:c r="C125" s="59" t="str">
        <x:v>Coverage Ratio at Eligible Date</x:v>
      </x:c>
      <x:c r="D125" s="57" t="str">
        <x:v>No</x:v>
      </x:c>
      <x:c r="E125" s="57" t="str">
        <x:v>Yes</x:v>
      </x:c>
      <x:c r="F125" s="59" t="str">
        <x:v>Derived ratio or performance measure calculated from governed source values.</x:v>
      </x:c>
    </x:row>
    <x:row r="126" ht="15" customHeight="1">
      <x:c r="A126" s="57" t="str">
        <x:v>Column</x:v>
      </x:c>
      <x:c r="B126" s="57" t="str">
        <x:v>Loan Assessment</x:v>
      </x:c>
      <x:c r="C126" s="59" t="str">
        <x:v>Recommendation Status</x:v>
      </x:c>
      <x:c r="D126" s="57" t="str">
        <x:v>No</x:v>
      </x:c>
      <x:c r="E126" s="57" t="str">
        <x:v>Yes</x:v>
      </x:c>
      <x:c r="F126" s="59" t="str">
        <x:v>Derived business-state or risk indicator.</x:v>
      </x:c>
    </x:row>
    <x:row r="127" ht="15" customHeight="1">
      <x:c r="A127" s="57" t="str">
        <x:v>Column</x:v>
      </x:c>
      <x:c r="B127" s="57" t="str">
        <x:v>Loan Assessment</x:v>
      </x:c>
      <x:c r="C127" s="59" t="str">
        <x:v>Recommendation</x:v>
      </x:c>
      <x:c r="D127" s="57" t="str">
        <x:v>No</x:v>
      </x:c>
      <x:c r="E127" s="57" t="str">
        <x:v>Yes</x:v>
      </x:c>
      <x:c r="F127" s="59" t="str">
        <x:v>Derived AppSheet value used by the app workflow, presentation, or reporting model.</x:v>
      </x:c>
    </x:row>
    <x:row r="128" ht="15" customHeight="1">
      <x:c r="A128" s="57" t="str">
        <x:v>Column</x:v>
      </x:c>
      <x:c r="B128" s="57" t="str">
        <x:v>Loan Assessment</x:v>
      </x:c>
      <x:c r="C128" s="59" t="str">
        <x:v>Header - Current Position</x:v>
      </x:c>
      <x:c r="D128" s="57" t="str">
        <x:v>No</x:v>
      </x:c>
      <x:c r="E128" s="57" t="str">
        <x:v>Yes</x:v>
      </x:c>
      <x:c r="F128" s="59" t="str">
        <x:v>Presentation-oriented label or bilingual display value.</x:v>
      </x:c>
    </x:row>
    <x:row r="129" ht="15" customHeight="1">
      <x:c r="A129" s="57" t="str">
        <x:v>Column</x:v>
      </x:c>
      <x:c r="B129" s="57" t="str">
        <x:v>Loan Assessment</x:v>
      </x:c>
      <x:c r="C129" s="59" t="str">
        <x:v>Header - Recommendation</x:v>
      </x:c>
      <x:c r="D129" s="57" t="str">
        <x:v>No</x:v>
      </x:c>
      <x:c r="E129" s="57" t="str">
        <x:v>Yes</x:v>
      </x:c>
      <x:c r="F129" s="59" t="str">
        <x:v>Presentation-oriented label or bilingual display value.</x:v>
      </x:c>
    </x:row>
    <x:row r="130" ht="15" customHeight="1">
      <x:c r="A130" s="57" t="str">
        <x:v>Column</x:v>
      </x:c>
      <x:c r="B130" s="57" t="str">
        <x:v>Loan Assessment</x:v>
      </x:c>
      <x:c r="C130" s="59" t="str">
        <x:v>Header - Calculation</x:v>
      </x:c>
      <x:c r="D130" s="57" t="str">
        <x:v>No</x:v>
      </x:c>
      <x:c r="E130" s="57" t="str">
        <x:v>Yes</x:v>
      </x:c>
      <x:c r="F130" s="59" t="str">
        <x:v>Presentation-oriented label or bilingual display value.</x:v>
      </x:c>
    </x:row>
    <x:row r="131" ht="15" customHeight="1">
      <x:c r="A131" s="57" t="str">
        <x:v>Column</x:v>
      </x:c>
      <x:c r="B131" s="57" t="str">
        <x:v>Loans</x:v>
      </x:c>
      <x:c r="C131" s="59" t="str">
        <x:v>Borrower Total Interest</x:v>
      </x:c>
      <x:c r="D131" s="57" t="str">
        <x:v>No</x:v>
      </x:c>
      <x:c r="E131" s="57" t="str">
        <x:v>Yes</x:v>
      </x:c>
      <x:c r="F131" s="59" t="str">
        <x:v>Derived financial aggregate or balance for operational or analytical use.</x:v>
      </x:c>
    </x:row>
    <x:row r="132" ht="15" customHeight="1">
      <x:c r="A132" s="57" t="str">
        <x:v>Column</x:v>
      </x:c>
      <x:c r="B132" s="57" t="str">
        <x:v>Loans</x:v>
      </x:c>
      <x:c r="C132" s="59" t="str">
        <x:v>Loan Start Day Index</x:v>
      </x:c>
      <x:c r="D132" s="57" t="str">
        <x:v>No</x:v>
      </x:c>
      <x:c r="E132" s="57" t="str">
        <x:v>Yes</x:v>
      </x:c>
      <x:c r="F132" s="59" t="str">
        <x:v>Derived AppSheet value used by the app workflow, presentation, or reporting model.</x:v>
      </x:c>
    </x:row>
    <x:row r="133" ht="15" customHeight="1">
      <x:c r="A133" s="57" t="str">
        <x:v>Column</x:v>
      </x:c>
      <x:c r="B133" s="57" t="str">
        <x:v>Loans</x:v>
      </x:c>
      <x:c r="C133" s="59" t="str">
        <x:v>Principal Start Weight</x:v>
      </x:c>
      <x:c r="D133" s="57" t="str">
        <x:v>No</x:v>
      </x:c>
      <x:c r="E133" s="57" t="str">
        <x:v>Yes</x:v>
      </x:c>
      <x:c r="F133" s="59" t="str">
        <x:v>Derived financial aggregate or balance for operational or analytical use.</x:v>
      </x:c>
    </x:row>
    <x:row r="134" ht="15" customHeight="1">
      <x:c r="A134" s="57" t="str">
        <x:v>Column</x:v>
      </x:c>
      <x:c r="B134" s="57" t="str">
        <x:v>Loans</x:v>
      </x:c>
      <x:c r="C134" s="59" t="str">
        <x:v>Loan End Date</x:v>
      </x:c>
      <x:c r="D134" s="57" t="str">
        <x:v>No</x:v>
      </x:c>
      <x:c r="E134" s="57" t="str">
        <x:v>Yes</x:v>
      </x:c>
      <x:c r="F134" s="59" t="str">
        <x:v>Derived date, time-window, age, or delinquency measure.</x:v>
      </x:c>
    </x:row>
    <x:row r="135" ht="15" customHeight="1">
      <x:c r="A135" s="57" t="str">
        <x:v>Column</x:v>
      </x:c>
      <x:c r="B135" s="57" t="str">
        <x:v>Loans</x:v>
      </x:c>
      <x:c r="C135" s="59" t="str">
        <x:v>30D Principal Days</x:v>
      </x:c>
      <x:c r="D135" s="57" t="str">
        <x:v>No</x:v>
      </x:c>
      <x:c r="E135" s="57" t="str">
        <x:v>Yes</x:v>
      </x:c>
      <x:c r="F135" s="59" t="str">
        <x:v>Derived date, time-window, age, or delinquency measure.</x:v>
      </x:c>
    </x:row>
    <x:row r="136" ht="15" customHeight="1">
      <x:c r="A136" s="57" t="str">
        <x:v>Column</x:v>
      </x:c>
      <x:c r="B136" s="57" t="str">
        <x:v>Loans</x:v>
      </x:c>
      <x:c r="C136" s="59" t="str">
        <x:v>Loan Age Days</x:v>
      </x:c>
      <x:c r="D136" s="57" t="str">
        <x:v>No</x:v>
      </x:c>
      <x:c r="E136" s="57" t="str">
        <x:v>Yes</x:v>
      </x:c>
      <x:c r="F136" s="59" t="str">
        <x:v>Derived date, time-window, age, or delinquency measure.</x:v>
      </x:c>
    </x:row>
    <x:row r="137" ht="15" customHeight="1">
      <x:c r="A137" s="57" t="str">
        <x:v>Column</x:v>
      </x:c>
      <x:c r="B137" s="57" t="str">
        <x:v>Loans</x:v>
      </x:c>
      <x:c r="C137" s="59" t="str">
        <x:v>Loan Age Bucket</x:v>
      </x:c>
      <x:c r="D137" s="57" t="str">
        <x:v>No</x:v>
      </x:c>
      <x:c r="E137" s="57" t="str">
        <x:v>Yes</x:v>
      </x:c>
      <x:c r="F137" s="59" t="str">
        <x:v>Derived grouping, ordering, or join value used by reporting or app presentation.</x:v>
      </x:c>
    </x:row>
    <x:row r="138" ht="15" customHeight="1">
      <x:c r="A138" s="57" t="str">
        <x:v>Column</x:v>
      </x:c>
      <x:c r="B138" s="57" t="str">
        <x:v>Loans</x:v>
      </x:c>
      <x:c r="C138" s="59" t="str">
        <x:v>Defaulted Flag</x:v>
      </x:c>
      <x:c r="D138" s="57" t="str">
        <x:v>No</x:v>
      </x:c>
      <x:c r="E138" s="57" t="str">
        <x:v>Yes</x:v>
      </x:c>
      <x:c r="F138" s="59" t="str">
        <x:v>Derived business-state or risk indicator.</x:v>
      </x:c>
    </x:row>
    <x:row r="139" ht="15" customHeight="1">
      <x:c r="A139" s="57" t="str">
        <x:v>Column</x:v>
      </x:c>
      <x:c r="B139" s="57" t="str">
        <x:v>Loans</x:v>
      </x:c>
      <x:c r="C139" s="59" t="str">
        <x:v>Maximum Days Late</x:v>
      </x:c>
      <x:c r="D139" s="57" t="str">
        <x:v>No</x:v>
      </x:c>
      <x:c r="E139" s="57" t="str">
        <x:v>Yes</x:v>
      </x:c>
      <x:c r="F139" s="59" t="str">
        <x:v>Derived business-state or risk indicator.</x:v>
      </x:c>
    </x:row>
    <x:row r="140" ht="15" customHeight="1">
      <x:c r="A140" s="57" t="str">
        <x:v>Column</x:v>
      </x:c>
      <x:c r="B140" s="57" t="str">
        <x:v>Loans</x:v>
      </x:c>
      <x:c r="C140" s="59" t="str">
        <x:v>Daily Installment Base Principal</x:v>
      </x:c>
      <x:c r="D140" s="57" t="str">
        <x:v>No</x:v>
      </x:c>
      <x:c r="E140" s="57" t="str">
        <x:v>Yes</x:v>
      </x:c>
      <x:c r="F140" s="59" t="str">
        <x:v>Hidden whole-baht base allocation used only by OLAP Calendar projection helpers.</x:v>
      </x:c>
    </x:row>
    <x:row r="141" ht="15" customHeight="1">
      <x:c r="A141" s="57" t="str">
        <x:v>Column</x:v>
      </x:c>
      <x:c r="B141" s="57" t="str">
        <x:v>Partners</x:v>
      </x:c>
      <x:c r="C141" s="59" t="str">
        <x:v>Related Cash Pool Contributions</x:v>
      </x:c>
      <x:c r="D141" s="57" t="str">
        <x:v>No</x:v>
      </x:c>
      <x:c r="E141" s="57" t="str">
        <x:v>Yes</x:v>
      </x:c>
      <x:c r="F141" s="59" t="str">
        <x:v>Reverse-reference list of child rows that point to this record.</x:v>
      </x:c>
    </x:row>
    <x:row r="142" ht="15" customHeight="1">
      <x:c r="A142" s="57" t="str">
        <x:v>Column</x:v>
      </x:c>
      <x:c r="B142" s="57" t="str">
        <x:v>Partners</x:v>
      </x:c>
      <x:c r="C142" s="59" t="str">
        <x:v>Related Settlements</x:v>
      </x:c>
      <x:c r="D142" s="57" t="str">
        <x:v>No</x:v>
      </x:c>
      <x:c r="E142" s="57" t="str">
        <x:v>Yes</x:v>
      </x:c>
      <x:c r="F142" s="59" t="str">
        <x:v>Reverse-reference list of child rows that point to this record.</x:v>
      </x:c>
    </x:row>
    <x:row r="143" ht="15" customHeight="1">
      <x:c r="A143" s="57" t="str">
        <x:v>Column</x:v>
      </x:c>
      <x:c r="B143" s="57" t="str">
        <x:v>Partners</x:v>
      </x:c>
      <x:c r="C143" s="59" t="str">
        <x:v>Current Pool Contribution</x:v>
      </x:c>
      <x:c r="D143" s="57" t="str">
        <x:v>No</x:v>
      </x:c>
      <x:c r="E143" s="57" t="str">
        <x:v>Yes</x:v>
      </x:c>
      <x:c r="F143" s="59" t="str">
        <x:v>Derived financial aggregate or balance for operational or analytical use.</x:v>
      </x:c>
    </x:row>
    <x:row r="144" ht="15" customHeight="1">
      <x:c r="A144" s="57" t="str">
        <x:v>Column</x:v>
      </x:c>
      <x:c r="B144" s="57" t="str">
        <x:v>Partners</x:v>
      </x:c>
      <x:c r="C144" s="59" t="str">
        <x:v>Current Pool Share</x:v>
      </x:c>
      <x:c r="D144" s="57" t="str">
        <x:v>No</x:v>
      </x:c>
      <x:c r="E144" s="57" t="str">
        <x:v>Yes</x:v>
      </x:c>
      <x:c r="F144" s="59" t="str">
        <x:v>Derived ratio or performance measure calculated from governed source values.</x:v>
      </x:c>
    </x:row>
    <x:row r="145" ht="15" customHeight="1">
      <x:c r="A145" s="57" t="str">
        <x:v>Column</x:v>
      </x:c>
      <x:c r="B145" s="57" t="str">
        <x:v>Partners</x:v>
      </x:c>
      <x:c r="C145" s="59" t="str">
        <x:v>Total Profit Earned</x:v>
      </x:c>
      <x:c r="D145" s="57" t="str">
        <x:v>No</x:v>
      </x:c>
      <x:c r="E145" s="57" t="str">
        <x:v>Yes</x:v>
      </x:c>
      <x:c r="F145" s="59" t="str">
        <x:v>Derived financial aggregate or balance for operational or analytical use.</x:v>
      </x:c>
    </x:row>
    <x:row r="146" ht="15" customHeight="1">
      <x:c r="A146" s="57" t="str">
        <x:v>Column</x:v>
      </x:c>
      <x:c r="B146" s="57" t="str">
        <x:v>Partners</x:v>
      </x:c>
      <x:c r="C146" s="59" t="str">
        <x:v>Total Settlement Created</x:v>
      </x:c>
      <x:c r="D146" s="57" t="str">
        <x:v>No</x:v>
      </x:c>
      <x:c r="E146" s="57" t="str">
        <x:v>Yes</x:v>
      </x:c>
      <x:c r="F146" s="59" t="str">
        <x:v>Derived financial aggregate or balance for operational or analytical use.</x:v>
      </x:c>
    </x:row>
    <x:row r="147" ht="15" customHeight="1">
      <x:c r="A147" s="57" t="str">
        <x:v>Column</x:v>
      </x:c>
      <x:c r="B147" s="57" t="str">
        <x:v>Partners</x:v>
      </x:c>
      <x:c r="C147" s="59" t="str">
        <x:v>Completed Settlement</x:v>
      </x:c>
      <x:c r="D147" s="57" t="str">
        <x:v>No</x:v>
      </x:c>
      <x:c r="E147" s="57" t="str">
        <x:v>Yes</x:v>
      </x:c>
      <x:c r="F147" s="59" t="str">
        <x:v>Derived financial aggregate or balance for operational or analytical use.</x:v>
      </x:c>
    </x:row>
    <x:row r="148" ht="15" customHeight="1">
      <x:c r="A148" s="57" t="str">
        <x:v>Column</x:v>
      </x:c>
      <x:c r="B148" s="57" t="str">
        <x:v>Partners</x:v>
      </x:c>
      <x:c r="C148" s="59" t="str">
        <x:v>Pending Settlement</x:v>
      </x:c>
      <x:c r="D148" s="57" t="str">
        <x:v>No</x:v>
      </x:c>
      <x:c r="E148" s="57" t="str">
        <x:v>Yes</x:v>
      </x:c>
      <x:c r="F148" s="59" t="str">
        <x:v>Derived financial aggregate or balance for operational or analytical use.</x:v>
      </x:c>
    </x:row>
    <x:row r="149" ht="15" customHeight="1">
      <x:c r="A149" s="57" t="str">
        <x:v>Column</x:v>
      </x:c>
      <x:c r="B149" s="57" t="str">
        <x:v>Partners</x:v>
      </x:c>
      <x:c r="C149" s="59" t="str">
        <x:v>Available to Settle</x:v>
      </x:c>
      <x:c r="D149" s="57" t="str">
        <x:v>No</x:v>
      </x:c>
      <x:c r="E149" s="57" t="str">
        <x:v>Yes</x:v>
      </x:c>
      <x:c r="F149" s="59" t="str">
        <x:v>Derived AppSheet value used by the app workflow, presentation, or reporting model.</x:v>
      </x:c>
    </x:row>
    <x:row r="150" ht="15" customHeight="1">
      <x:c r="A150" s="57" t="str">
        <x:v>Column</x:v>
      </x:c>
      <x:c r="B150" s="57" t="str">
        <x:v>Partners</x:v>
      </x:c>
      <x:c r="C150" s="59" t="str">
        <x:v>Summary - Available Pending Settlement</x:v>
      </x:c>
      <x:c r="D150" s="57" t="str">
        <x:v>No</x:v>
      </x:c>
      <x:c r="E150" s="57" t="str">
        <x:v>Yes</x:v>
      </x:c>
      <x:c r="F150" s="59" t="str">
        <x:v>Presentation-oriented label or bilingual display value.</x:v>
      </x:c>
    </x:row>
    <x:row r="151" ht="15" customHeight="1">
      <x:c r="A151" s="57" t="str">
        <x:v>Column</x:v>
      </x:c>
      <x:c r="B151" s="57" t="str">
        <x:v>Partners</x:v>
      </x:c>
      <x:c r="C151" s="59" t="str">
        <x:v>Summary - Completed Settlement</x:v>
      </x:c>
      <x:c r="D151" s="57" t="str">
        <x:v>No</x:v>
      </x:c>
      <x:c r="E151" s="57" t="str">
        <x:v>Yes</x:v>
      </x:c>
      <x:c r="F151" s="59" t="str">
        <x:v>Presentation-oriented label or bilingual display value.</x:v>
      </x:c>
    </x:row>
    <x:row r="152" ht="15" customHeight="1">
      <x:c r="A152" s="57" t="str">
        <x:v>Column</x:v>
      </x:c>
      <x:c r="B152" s="57" t="str">
        <x:v>Partners</x:v>
      </x:c>
      <x:c r="C152" s="59" t="str">
        <x:v>Summary - Total Profit Earned</x:v>
      </x:c>
      <x:c r="D152" s="57" t="str">
        <x:v>No</x:v>
      </x:c>
      <x:c r="E152" s="57" t="str">
        <x:v>Yes</x:v>
      </x:c>
      <x:c r="F152" s="59" t="str">
        <x:v>Presentation-oriented label or bilingual display value.</x:v>
      </x:c>
    </x:row>
    <x:row r="153" ht="15" customHeight="1">
      <x:c r="A153" s="57" t="str">
        <x:v>Column</x:v>
      </x:c>
      <x:c r="B153" s="57" t="str">
        <x:v>Repayments</x:v>
      </x:c>
      <x:c r="C153" s="59" t="str">
        <x:v>Pool Total at Payment Date</x:v>
      </x:c>
      <x:c r="D153" s="57" t="str">
        <x:v>No</x:v>
      </x:c>
      <x:c r="E153" s="57" t="str">
        <x:v>Yes</x:v>
      </x:c>
      <x:c r="F153" s="59" t="str">
        <x:v>Derived date, time-window, age, or delinquency measure.</x:v>
      </x:c>
    </x:row>
    <x:row r="154" ht="15" customHeight="1">
      <x:c r="A154" s="57" t="str">
        <x:v>Column</x:v>
      </x:c>
      <x:c r="B154" s="57" t="str">
        <x:v>Repayments</x:v>
      </x:c>
      <x:c r="C154" s="59" t="str">
        <x:v>Partner A Contribution at Payment Date</x:v>
      </x:c>
      <x:c r="D154" s="57" t="str">
        <x:v>No</x:v>
      </x:c>
      <x:c r="E154" s="57" t="str">
        <x:v>Yes</x:v>
      </x:c>
      <x:c r="F154" s="59" t="str">
        <x:v>Derived date, time-window, age, or delinquency measure.</x:v>
      </x:c>
    </x:row>
    <x:row r="155" ht="15" customHeight="1">
      <x:c r="A155" s="57" t="str">
        <x:v>Column</x:v>
      </x:c>
      <x:c r="B155" s="57" t="str">
        <x:v>Repayments</x:v>
      </x:c>
      <x:c r="C155" s="59" t="str">
        <x:v>Partner B Contribution at Payment Date</x:v>
      </x:c>
      <x:c r="D155" s="57" t="str">
        <x:v>No</x:v>
      </x:c>
      <x:c r="E155" s="57" t="str">
        <x:v>Yes</x:v>
      </x:c>
      <x:c r="F155" s="59" t="str">
        <x:v>Derived date, time-window, age, or delinquency measure.</x:v>
      </x:c>
    </x:row>
    <x:row r="156" ht="15" customHeight="1">
      <x:c r="A156" s="57" t="str">
        <x:v>Column</x:v>
      </x:c>
      <x:c r="B156" s="57" t="str">
        <x:v>Repayments</x:v>
      </x:c>
      <x:c r="C156" s="59" t="str">
        <x:v>Partner A Profit Share</x:v>
      </x:c>
      <x:c r="D156" s="57" t="str">
        <x:v>No</x:v>
      </x:c>
      <x:c r="E156" s="57" t="str">
        <x:v>Yes</x:v>
      </x:c>
      <x:c r="F156" s="59" t="str">
        <x:v>Derived ratio or performance measure calculated from governed source values.</x:v>
      </x:c>
    </x:row>
    <x:row r="157" ht="15" customHeight="1">
      <x:c r="A157" s="57" t="str">
        <x:v>Column</x:v>
      </x:c>
      <x:c r="B157" s="57" t="str">
        <x:v>Repayments</x:v>
      </x:c>
      <x:c r="C157" s="59" t="str">
        <x:v>Partner B Profit Share</x:v>
      </x:c>
      <x:c r="D157" s="57" t="str">
        <x:v>No</x:v>
      </x:c>
      <x:c r="E157" s="57" t="str">
        <x:v>Yes</x:v>
      </x:c>
      <x:c r="F157" s="59" t="str">
        <x:v>Derived ratio or performance measure calculated from governed source values.</x:v>
      </x:c>
    </x:row>
    <x:row r="158" ht="15" customHeight="1">
      <x:c r="A158" s="57" t="str">
        <x:v>Column</x:v>
      </x:c>
      <x:c r="B158" s="57" t="str">
        <x:v>Repayments</x:v>
      </x:c>
      <x:c r="C158" s="59" t="str">
        <x:v>Partner A Profit</x:v>
      </x:c>
      <x:c r="D158" s="57" t="str">
        <x:v>No</x:v>
      </x:c>
      <x:c r="E158" s="57" t="str">
        <x:v>Yes</x:v>
      </x:c>
      <x:c r="F158" s="59" t="str">
        <x:v>Derived financial aggregate or balance for operational or analytical use.</x:v>
      </x:c>
    </x:row>
    <x:row r="159" ht="15" customHeight="1">
      <x:c r="A159" s="57" t="str">
        <x:v>Column</x:v>
      </x:c>
      <x:c r="B159" s="57" t="str">
        <x:v>Repayments</x:v>
      </x:c>
      <x:c r="C159" s="59" t="str">
        <x:v>Partner B Profit</x:v>
      </x:c>
      <x:c r="D159" s="57" t="str">
        <x:v>No</x:v>
      </x:c>
      <x:c r="E159" s="57" t="str">
        <x:v>Yes</x:v>
      </x:c>
      <x:c r="F159" s="59" t="str">
        <x:v>Derived financial aggregate or balance for operational or analytical use.</x:v>
      </x:c>
    </x:row>
    <x:row r="160" ht="15" customHeight="1">
      <x:c r="A160" s="57" t="str">
        <x:v>Column</x:v>
      </x:c>
      <x:c r="B160" s="57" t="str">
        <x:v>Repayments</x:v>
      </x:c>
      <x:c r="C160" s="59" t="str">
        <x:v>Header - Profit</x:v>
      </x:c>
      <x:c r="D160" s="57" t="str">
        <x:v>No</x:v>
      </x:c>
      <x:c r="E160" s="57" t="str">
        <x:v>Yes</x:v>
      </x:c>
      <x:c r="F160" s="59" t="str">
        <x:v>Presentation-oriented label or bilingual display value.</x:v>
      </x:c>
    </x:row>
    <x:row r="161" ht="15" customHeight="1">
      <x:c r="A161" s="57" t="str">
        <x:v>Column</x:v>
      </x:c>
      <x:c r="B161" s="57" t="str">
        <x:v>Repayments</x:v>
      </x:c>
      <x:c r="C161" s="59" t="str">
        <x:v>30D Principal Reduction Days</x:v>
      </x:c>
      <x:c r="D161" s="57" t="str">
        <x:v>No</x:v>
      </x:c>
      <x:c r="E161" s="57" t="str">
        <x:v>Yes</x:v>
      </x:c>
      <x:c r="F161" s="59" t="str">
        <x:v>Derived date, time-window, age, or delinquency measure.</x:v>
      </x:c>
    </x:row>
    <x:row r="162" ht="15" customHeight="1">
      <x:c r="A162" s="57" t="str">
        <x:v>Column</x:v>
      </x:c>
      <x:c r="B162" s="57" t="str">
        <x:v>Settlements</x:v>
      </x:c>
      <x:c r="C162" s="59" t="str">
        <x:v>_RowNumber</x:v>
      </x:c>
      <x:c r="D162" s="57" t="str">
        <x:v>No</x:v>
      </x:c>
      <x:c r="E162" s="57" t="str">
        <x:v>Yes</x:v>
      </x:c>
      <x:c r="F162" s="59" t="str">
        <x:v>System-generated source-row ordinal; not a stable business key.</x:v>
      </x:c>
    </x:row>
    <x:row r="163" ht="15" customHeight="1">
      <x:c r="A163" s="57" t="str">
        <x:v>Column</x:v>
      </x:c>
      <x:c r="B163" s="57" t="str">
        <x:v>Settlements</x:v>
      </x:c>
      <x:c r="C163" s="59" t="str">
        <x:v>Row ID</x:v>
      </x:c>
      <x:c r="D163" s="57" t="str">
        <x:v>No</x:v>
      </x:c>
      <x:c r="E163" s="57" t="str">
        <x:v>Yes</x:v>
      </x:c>
      <x:c r="F163" s="59" t="str">
        <x:v>Immutable row key generated by the source database.</x:v>
      </x:c>
    </x:row>
    <x:row r="164" ht="15" customHeight="1">
      <x:c r="A164" s="57" t="str">
        <x:v>Column</x:v>
      </x:c>
      <x:c r="B164" s="57" t="str">
        <x:v>Settlements</x:v>
      </x:c>
      <x:c r="C164" s="59" t="str">
        <x:v>Settlement Date</x:v>
      </x:c>
      <x:c r="D164" s="57" t="str">
        <x:v>No</x:v>
      </x:c>
      <x:c r="E164" s="57" t="str">
        <x:v>Yes</x:v>
      </x:c>
      <x:c r="F164" s="59" t="str">
        <x:v>Stores the source date for Settlement Date.</x:v>
      </x:c>
    </x:row>
    <x:row r="165" ht="15" customHeight="1">
      <x:c r="A165" s="57" t="str">
        <x:v>Column</x:v>
      </x:c>
      <x:c r="B165" s="57" t="str">
        <x:v>Settlements</x:v>
      </x:c>
      <x:c r="C165" s="59" t="str">
        <x:v>Ref Partner</x:v>
      </x:c>
      <x:c r="D165" s="57" t="str">
        <x:v>No</x:v>
      </x:c>
      <x:c r="E165" s="57" t="str">
        <x:v>Yes</x:v>
      </x:c>
      <x:c r="F165" s="59" t="str">
        <x:v>Reference key that links this row to the configured parent table.</x:v>
      </x:c>
    </x:row>
    <x:row r="166" ht="15" customHeight="1">
      <x:c r="A166" s="57" t="str">
        <x:v>Column</x:v>
      </x:c>
      <x:c r="B166" s="57" t="str">
        <x:v>Settlements</x:v>
      </x:c>
      <x:c r="C166" s="59" t="str">
        <x:v>Amount</x:v>
      </x:c>
      <x:c r="D166" s="57" t="str">
        <x:v>No</x:v>
      </x:c>
      <x:c r="E166" s="57" t="str">
        <x:v>Yes</x:v>
      </x:c>
      <x:c r="F166" s="59" t="str">
        <x:v>Stores the financially material source value for Amount.</x:v>
      </x:c>
    </x:row>
    <x:row r="167" ht="15" customHeight="1">
      <x:c r="A167" s="57" t="str">
        <x:v>Column</x:v>
      </x:c>
      <x:c r="B167" s="57" t="str">
        <x:v>Settlements</x:v>
      </x:c>
      <x:c r="C167" s="59" t="str">
        <x:v>Status</x:v>
      </x:c>
      <x:c r="D167" s="57" t="str">
        <x:v>No</x:v>
      </x:c>
      <x:c r="E167" s="57" t="str">
        <x:v>Yes</x:v>
      </x:c>
      <x:c r="F167" s="59" t="str">
        <x:v>Stores the controlled workflow state for Status.</x:v>
      </x:c>
    </x:row>
    <x:row r="168" ht="15" customHeight="1">
      <x:c r="A168" s="57" t="str">
        <x:v>Column</x:v>
      </x:c>
      <x:c r="B168" s="57" t="str">
        <x:v>Settlements</x:v>
      </x:c>
      <x:c r="C168" s="59" t="str">
        <x:v>Transfer Date</x:v>
      </x:c>
      <x:c r="D168" s="57" t="str">
        <x:v>No</x:v>
      </x:c>
      <x:c r="E168" s="57" t="str">
        <x:v>Yes</x:v>
      </x:c>
      <x:c r="F168" s="59" t="str">
        <x:v>Stores the source date for Transfer Date.</x:v>
      </x:c>
    </x:row>
    <x:row r="169" ht="15" customHeight="1">
      <x:c r="A169" s="57" t="str">
        <x:v>Column</x:v>
      </x:c>
      <x:c r="B169" s="57" t="str">
        <x:v>Settlements</x:v>
      </x:c>
      <x:c r="C169" s="59" t="str">
        <x:v>Notes</x:v>
      </x:c>
      <x:c r="D169" s="57" t="str">
        <x:v>No</x:v>
      </x:c>
      <x:c r="E169" s="57" t="str">
        <x:v>Yes</x:v>
      </x:c>
      <x:c r="F169" s="59" t="str">
        <x:v>Stores the authoritative source value for Notes.</x:v>
      </x:c>
    </x:row>
    <x:row r="170" ht="15" customHeight="1">
      <x:c r="A170" s="57" t="str">
        <x:v>Column</x:v>
      </x:c>
      <x:c r="B170" s="57" t="str">
        <x:v>Statistics</x:v>
      </x:c>
      <x:c r="C170" s="59" t="str">
        <x:v>Active Loans</x:v>
      </x:c>
      <x:c r="D170" s="57" t="str">
        <x:v>No</x:v>
      </x:c>
      <x:c r="E170" s="57" t="str">
        <x:v>Yes</x:v>
      </x:c>
      <x:c r="F170" s="59" t="str">
        <x:v>Derived count used for workload, portfolio, or risk analysis.</x:v>
      </x:c>
    </x:row>
    <x:row r="171" ht="15" customHeight="1">
      <x:c r="A171" s="57" t="str">
        <x:v>Column</x:v>
      </x:c>
      <x:c r="B171" s="57" t="str">
        <x:v>Statistics</x:v>
      </x:c>
      <x:c r="C171" s="59" t="str">
        <x:v>Peak Cash Pool 30D</x:v>
      </x:c>
      <x:c r="D171" s="57" t="str">
        <x:v>No</x:v>
      </x:c>
      <x:c r="E171" s="57" t="str">
        <x:v>Yes</x:v>
      </x:c>
      <x:c r="F171" s="59" t="str">
        <x:v>Derived financial aggregate or balance for operational or analytical use.</x:v>
      </x:c>
    </x:row>
    <x:row r="172" ht="15" customHeight="1">
      <x:c r="A172" s="57" t="str">
        <x:v>Column</x:v>
      </x:c>
      <x:c r="B172" s="57" t="str">
        <x:v>Statistics</x:v>
      </x:c>
      <x:c r="C172" s="59" t="str">
        <x:v>Peak Cash Pool Date 30D</x:v>
      </x:c>
      <x:c r="D172" s="57" t="str">
        <x:v>No</x:v>
      </x:c>
      <x:c r="E172" s="57" t="str">
        <x:v>Yes</x:v>
      </x:c>
      <x:c r="F172" s="59" t="str">
        <x:v>Derived date, time-window, age, or delinquency measure.</x:v>
      </x:c>
    </x:row>
    <x:row r="173" ht="15" customHeight="1">
      <x:c r="A173" s="57" t="str">
        <x:v>Column</x:v>
      </x:c>
      <x:c r="B173" s="57" t="str">
        <x:v>Statistics</x:v>
      </x:c>
      <x:c r="C173" s="59" t="str">
        <x:v>Total Cash Pool</x:v>
      </x:c>
      <x:c r="D173" s="57" t="str">
        <x:v>No</x:v>
      </x:c>
      <x:c r="E173" s="57" t="str">
        <x:v>Yes</x:v>
      </x:c>
      <x:c r="F173" s="59" t="str">
        <x:v>Derived financial aggregate or balance for operational or analytical use.</x:v>
      </x:c>
    </x:row>
    <x:row r="174" ht="15" customHeight="1">
      <x:c r="A174" s="57" t="str">
        <x:v>Column</x:v>
      </x:c>
      <x:c r="B174" s="57" t="str">
        <x:v>Statistics</x:v>
      </x:c>
      <x:c r="C174" s="59" t="str">
        <x:v>Total Unsettled Profit</x:v>
      </x:c>
      <x:c r="D174" s="57" t="str">
        <x:v>No</x:v>
      </x:c>
      <x:c r="E174" s="57" t="str">
        <x:v>Yes</x:v>
      </x:c>
      <x:c r="F174" s="59" t="str">
        <x:v>Derived financial aggregate or balance for operational or analytical use.</x:v>
      </x:c>
    </x:row>
    <x:row r="175" ht="15" customHeight="1">
      <x:c r="A175" s="57" t="str">
        <x:v>Column</x:v>
      </x:c>
      <x:c r="B175" s="57" t="str">
        <x:v>Statistics</x:v>
      </x:c>
      <x:c r="C175" s="59" t="str">
        <x:v>Expected Loan Account Balance</x:v>
      </x:c>
      <x:c r="D175" s="57" t="str">
        <x:v>No</x:v>
      </x:c>
      <x:c r="E175" s="57" t="str">
        <x:v>Yes</x:v>
      </x:c>
      <x:c r="F175" s="59" t="str">
        <x:v>Derived count used for workload, portfolio, or risk analysis.</x:v>
      </x:c>
    </x:row>
    <x:row r="176" ht="15" customHeight="1">
      <x:c r="A176" s="57" t="str">
        <x:v>Column</x:v>
      </x:c>
      <x:c r="B176" s="57" t="str">
        <x:v>Statistics</x:v>
      </x:c>
      <x:c r="C176" s="59" t="str">
        <x:v>Header - Cash Pool</x:v>
      </x:c>
      <x:c r="D176" s="57" t="str">
        <x:v>No</x:v>
      </x:c>
      <x:c r="E176" s="57" t="str">
        <x:v>Yes</x:v>
      </x:c>
      <x:c r="F176" s="59" t="str">
        <x:v>Presentation-oriented label or bilingual display value.</x:v>
      </x:c>
    </x:row>
    <x:row r="177" ht="15" customHeight="1">
      <x:c r="A177" s="57" t="str">
        <x:v>Column</x:v>
      </x:c>
      <x:c r="B177" s="57" t="str">
        <x:v>Statistics</x:v>
      </x:c>
      <x:c r="C177" s="59" t="str">
        <x:v>Total Outstanding Principal</x:v>
      </x:c>
      <x:c r="D177" s="57" t="str">
        <x:v>No</x:v>
      </x:c>
      <x:c r="E177" s="57" t="str">
        <x:v>Yes</x:v>
      </x:c>
      <x:c r="F177" s="59" t="str">
        <x:v>Derived financial aggregate or balance for operational or analytical use.</x:v>
      </x:c>
    </x:row>
    <x:row r="178" ht="15" customHeight="1">
      <x:c r="A178" s="57" t="str">
        <x:v>Column</x:v>
      </x:c>
      <x:c r="B178" s="57" t="str">
        <x:v>Statistics</x:v>
      </x:c>
      <x:c r="C178" s="59" t="str">
        <x:v>Top 3 Borrower Concentration</x:v>
      </x:c>
      <x:c r="D178" s="57" t="str">
        <x:v>No</x:v>
      </x:c>
      <x:c r="E178" s="57" t="str">
        <x:v>Yes</x:v>
      </x:c>
      <x:c r="F178" s="59" t="str">
        <x:v>Derived AppSheet value used by the app workflow, presentation, or reporting model.</x:v>
      </x:c>
    </x:row>
    <x:row r="179">
      <x:c r="A179" s="57" t="str">
        <x:v>Column</x:v>
      </x:c>
      <x:c r="B179" s="57" t="str">
        <x:v>Statistics</x:v>
      </x:c>
      <x:c r="C179" s="59" t="str">
        <x:v>Amount Due Today</x:v>
      </x:c>
      <x:c r="D179" s="57" t="str">
        <x:v>No</x:v>
      </x:c>
      <x:c r="E179" s="57" t="str">
        <x:v>Yes</x:v>
      </x:c>
      <x:c r="F179" s="59" t="str">
        <x:v>Derived financial aggregate or balance for operational or analytical use.</x:v>
      </x:c>
    </x:row>
    <x:row r="180">
      <x:c r="A180" s="57" t="str">
        <x:v>Column</x:v>
      </x:c>
      <x:c r="B180" s="57" t="str">
        <x:v>Statistics</x:v>
      </x:c>
      <x:c r="C180" s="59" t="str">
        <x:v>Amount Collected Today</x:v>
      </x:c>
      <x:c r="D180" s="57" t="str">
        <x:v>No</x:v>
      </x:c>
      <x:c r="E180" s="57" t="str">
        <x:v>Yes</x:v>
      </x:c>
      <x:c r="F180" s="59" t="str">
        <x:v>Derived financial aggregate or balance for operational or analytical use.</x:v>
      </x:c>
    </x:row>
    <x:row r="181">
      <x:c r="A181" s="57" t="str">
        <x:v>Column</x:v>
      </x:c>
      <x:c r="B181" s="57" t="str">
        <x:v>Statistics</x:v>
      </x:c>
      <x:c r="C181" s="59" t="str">
        <x:v>Amount Outstanding Today</x:v>
      </x:c>
      <x:c r="D181" s="57" t="str">
        <x:v>No</x:v>
      </x:c>
      <x:c r="E181" s="57" t="str">
        <x:v>Yes</x:v>
      </x:c>
      <x:c r="F181" s="59" t="str">
        <x:v>Derived financial aggregate or balance for operational or analytical use.</x:v>
      </x:c>
    </x:row>
    <x:row r="182">
      <x:c r="A182" s="57" t="str">
        <x:v>Column</x:v>
      </x:c>
      <x:c r="B182" s="57" t="str">
        <x:v>Statistics</x:v>
      </x:c>
      <x:c r="C182" s="59" t="str">
        <x:v>Amount Collection Rate Today</x:v>
      </x:c>
      <x:c r="D182" s="57" t="str">
        <x:v>No</x:v>
      </x:c>
      <x:c r="E182" s="57" t="str">
        <x:v>Yes</x:v>
      </x:c>
      <x:c r="F182" s="59" t="str">
        <x:v>Derived ratio or performance measure calculated from governed source values.</x:v>
      </x:c>
    </x:row>
    <x:row r="183">
      <x:c r="A183" s="57"/>
      <x:c r="B183" s="57"/>
      <x:c r="C183" s="59"/>
      <x:c r="D183" s="57"/>
      <x:c r="E183" s="57"/>
      <x:c r="F183" s="59"/>
    </x:row>
    <x:row r="184">
      <x:c r="A184" s="57"/>
      <x:c r="B184" s="57"/>
      <x:c r="C184" s="59"/>
      <x:c r="D184" s="57"/>
      <x:c r="E184" s="57"/>
      <x:c r="F184" s="59"/>
    </x:row>
    <x:row r="185">
      <x:c r="A185"/>
      <x:c r="B185"/>
      <x:c r="C185"/>
      <x:c r="D185"/>
      <x:c r="E185"/>
      <x:c r="F185"/>
    </x:row>
  </x:sheetData>
  <x:mergeCells>
    <x:mergeCell ref="A2:F2"/>
    <x:mergeCell ref="A1:F1"/>
  </x:mergeCells>
  <x:conditionalFormatting sqref="D5:E178">
    <x:cfRule type="containsText" dxfId="2" priority="1" operator="containsText" text="No"/>
  </x:conditionalFormatting>
  <x:pageMargins left="0.7" right="0.7" top="0.75" bottom="0.75" header="0.3" footer="0.3"/>
  <x:tableParts count="1">
    <x:tablePart xmlns:r="http://schemas.openxmlformats.org/officeDocument/2006/relationships" r:id="R5e2b031e03414460"/>
  </x:tableParts>
</x:worksheet>
</file>

<file path=xl/worksheets/sheet8.xml><?xml version="1.0" encoding="utf-8"?>
<x:worksheet xmlns:x="http://schemas.openxmlformats.org/spreadsheetml/2006/main">
  <x:sheetViews>
    <x:sheetView showGridLines="0" workbookViewId="0"/>
  </x:sheetViews>
  <x:sheetFormatPr baseColWidth="8" defaultRowHeight="15"/>
  <x:cols>
    <x:col min="1" max="1" width="14" customWidth="1"/>
    <x:col min="2" max="2" width="30" customWidth="1"/>
    <x:col min="3" max="3" width="22" customWidth="1"/>
    <x:col min="4" max="4" width="28" customWidth="1"/>
    <x:col min="5" max="5" width="18" customWidth="1"/>
    <x:col min="6" max="6" width="72" customWidth="1"/>
    <x:col min="7" max="7" width="36" customWidth="1"/>
    <x:col min="8" max="8" width="24" customWidth="1"/>
    <x:col min="9" max="9" width="18" customWidth="1"/>
  </x:cols>
  <x:sheetData>
    <x:row r="1" ht="30" customHeight="1">
      <x:c r="A1" s="3" t="inlineStr">
        <x:is>
          <x:t xml:space="preserve">Change Log</x:t>
        </x:is>
      </x:c>
    </x:row>
    <x:row r="2" ht="30" customHeight="1">
      <x:c r="A2" s="7" t="inlineStr">
        <x:is>
          <x:t xml:space="preserve">Reserved historical worksheet. Authoritative change history is maintained as Markdown in Change Logs/.</x:t>
        </x:is>
      </x:c>
    </x:row>
    <x:row r="4" ht="30" customHeight="1">
      <x:c r="A4" s="50" t="inlineStr">
        <x:is>
          <x:t xml:space="preserve">Date</x:t>
        </x:is>
      </x:c>
      <x:c r="B4" s="51" t="inlineStr">
        <x:is>
          <x:t xml:space="preserve">Artifact</x:t>
        </x:is>
      </x:c>
      <x:c r="C4" s="51" t="inlineStr">
        <x:is>
          <x:t xml:space="preserve">Object Type</x:t>
        </x:is>
      </x:c>
      <x:c r="D4" s="51" t="inlineStr">
        <x:is>
          <x:t xml:space="preserve">Object Name</x:t>
        </x:is>
      </x:c>
      <x:c r="E4" s="51" t="inlineStr">
        <x:is>
          <x:t xml:space="preserve">Change Type</x:t>
        </x:is>
      </x:c>
      <x:c r="F4" s="51" t="inlineStr">
        <x:is>
          <x:t xml:space="preserve">Summary</x:t>
        </x:is>
      </x:c>
      <x:c r="G4" s="51" t="inlineStr">
        <x:is>
          <x:t xml:space="preserve">Source Baseline</x:t>
        </x:is>
      </x:c>
      <x:c r="H4" s="51" t="inlineStr">
        <x:is>
          <x:t xml:space="preserve">Reconciled with AppSheet?</x:t>
        </x:is>
      </x:c>
      <x:c r="I4" s="52" t="inlineStr">
        <x:is>
          <x:t xml:space="preserve">Updated By</x:t>
        </x:is>
      </x:c>
    </x:row>
    <x:row r="5" ht="21.600000381469727" customHeight="1">
      <x:c r="A5" s="70" t="n">
        <x:v>46264</x:v>
      </x:c>
      <x:c r="B5" s="58" t="inlineStr">
        <x:is>
          <x:t xml:space="preserve">Word + Excel reference pair</x:t>
        </x:is>
      </x:c>
      <x:c r="C5" s="56" t="inlineStr">
        <x:is>
          <x:t xml:space="preserve">Reference structure</x:t>
        </x:is>
      </x:c>
      <x:c r="D5" s="58" t="inlineStr">
        <x:is>
          <x:t xml:space="preserve">Initial split</x:t>
        </x:is>
      </x:c>
      <x:c r="E5" s="56" t="inlineStr">
        <x:is>
          <x:t xml:space="preserve">Conversion</x:t>
        </x:is>
      </x:c>
      <x:c r="F5" s="58" t="inlineStr">
        <x:is>
          <x:t xml:space="preserve">Split the existing Word baseline into a descriptive Word overview and a filterable Excel technical dictionary. No live AppSheet comparison was performed.</x:t>
        </x:is>
      </x:c>
      <x:c r="G5" s="58" t="inlineStr">
        <x:is>
          <x:t xml:space="preserve">AppSheet_Data_Model_Reference.docx (2026-08-29)</x:t>
        </x:is>
      </x:c>
      <x:c r="H5" s="56" t="inlineStr">
        <x:is>
          <x:t xml:space="preserve">Pending</x:t>
        </x:is>
      </x:c>
      <x:c r="I5" s="56" t="inlineStr">
        <x:is>
          <x:t xml:space="preserve">Codex</x:t>
        </x:is>
      </x:c>
    </x:row>
  </x:sheetData>
  <x:mergeCells>
    <x:mergeCell ref="A1:I1"/>
    <x:mergeCell ref="A2:I2"/>
  </x:mergeCells>
  <x:conditionalFormatting sqref="H5:H100">
    <x:cfRule type="containsText" dxfId="3" priority="1" operator="containsText" text="Pending"/>
  </x:conditionalFormatting>
  <x:dataValidations count="1">
    <x:dataValidation type="list" allowBlank="0" showDropDown="0" showInputMessage="0" showErrorMessage="0" sqref="H5:H100">
      <x:formula1>"Pending,Yes,No,Partial"</x:formula1>
    </x:dataValidation>
  </x:dataValidations>
  <x:pageMargins left="0.7" right="0.7" top="0.75" bottom="0.75" header="0.3" footer="0.3"/>
  <x:tableParts count="1">
    <x:tablePart xmlns:r="http://schemas.openxmlformats.org/officeDocument/2006/relationships" r:id="R7390666fa0184da8"/>
  </x:tableParts>
</x:worksheet>
</file>