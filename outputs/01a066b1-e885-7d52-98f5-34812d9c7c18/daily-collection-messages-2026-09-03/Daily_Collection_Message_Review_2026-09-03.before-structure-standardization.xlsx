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585c0da9d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 Summary" sheetId="1" r:id="Rf3dd10fe8b184d3d"/>
    <x:sheet xmlns:r="http://schemas.openxmlformats.org/officeDocument/2006/relationships" name="Charge Breakdown" sheetId="2" r:id="Re62ffb6932604c0f"/>
    <x:sheet xmlns:r="http://schemas.openxmlformats.org/officeDocument/2006/relationships" name="Draft Messages" sheetId="3" r:id="R236e90d583634ee5"/>
    <x:sheet xmlns:r="http://schemas.openxmlformats.org/officeDocument/2006/relationships" name="Metadata" sheetId="4" r:id="Rdc8313e40d3a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฿&quot;#,##0"/>
    <x:numFmt numFmtId="201" formatCode="yyyy-mm-dd"/>
    <x:numFmt numFmtId="202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83B63"/>
      <x:name val="Carlito"/>
    </x:font>
    <x:font>
      <x:b/>
      <x:sz val="11"/>
      <x:color rgb="FFFFFFFF"/>
      <x:name val="Carlito"/>
    </x:font>
    <x:font>
      <x:i/>
      <x:sz val="11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B63"/>
      </x:patternFill>
    </x:fill>
    <x:fill>
      <x:patternFill patternType="solid">
        <x:fgColor rgb="FFEDF4FB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5">
    <x:border/>
    <x:border>
      <x:left style="thin">
        <x:color rgb="FFA9D08E"/>
      </x:left>
      <x:right style="thin">
        <x:color rgb="FFA9D08E"/>
      </x:right>
      <x:top style="thin">
        <x:color rgb="FFA9D08E"/>
      </x:top>
      <x:bottom style="thin">
        <x:color rgb="FFA9D08E"/>
      </x:bottom>
    </x:border>
    <x:border>
      <x:left style="thin">
        <x:color rgb="FF183B63"/>
      </x:left>
      <x:top style="thin">
        <x:color rgb="FF183B63"/>
      </x:top>
      <x:bottom style="thin">
        <x:color rgb="FF183B63"/>
      </x:bottom>
    </x:border>
    <x:border>
      <x:top style="thin">
        <x:color rgb="FF183B63"/>
      </x:top>
      <x:bottom style="thin">
        <x:color rgb="FF183B63"/>
      </x:bottom>
    </x:border>
    <x:border>
      <x:right style="thin">
        <x:color rgb="FF183B63"/>
      </x:right>
      <x:top style="thin">
        <x:color rgb="FF183B63"/>
      </x:top>
      <x:bottom style="thin">
        <x:color rgb="FF183B6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1" fontId="0" fillId="6" borderId="0" xfId="0" applyNumberFormat="1" applyFont="1" applyFill="1" applyBorder="1"/>
    <x:xf numFmtId="201" fontId="0" fillId="7" borderId="0" xfId="0" applyNumberFormat="1" applyFont="1" applyFill="1" applyBorder="1"/>
    <x:xf numFmtId="202" fontId="0" fillId="6" borderId="0" xfId="0" applyNumberFormat="1" applyFont="1" applyFill="1" applyBorder="1"/>
    <x:xf numFmtId="202" fontId="0" fillId="7" borderId="0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200" fontId="0" fillId="4" borderId="0" xfId="0" applyNumberFormat="1" applyFont="1" applyFill="1" applyBorder="1"/>
    <x:xf numFmtId="0" fontId="0" fillId="8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cfe8cad4f4104" /><Relationship Type="http://schemas.openxmlformats.org/officeDocument/2006/relationships/theme" Target="/xl/theme/theme1.xml" Id="R64e8e9ddd47a4b5b" /><Relationship Type="http://schemas.openxmlformats.org/officeDocument/2006/relationships/sharedStrings" Target="/xl/sharedStrings.xml" Id="Rd49a0cbab2c1471b" /><Relationship Type="http://schemas.openxmlformats.org/officeDocument/2006/relationships/worksheet" Target="/xl/worksheets/sheet1.xml" Id="Rf3dd10fe8b184d3d" /><Relationship Type="http://schemas.openxmlformats.org/officeDocument/2006/relationships/worksheet" Target="/xl/worksheets/sheet2.xml" Id="Re62ffb6932604c0f" /><Relationship Type="http://schemas.openxmlformats.org/officeDocument/2006/relationships/worksheet" Target="/xl/worksheets/sheet3.xml" Id="R236e90d583634ee5" /><Relationship Type="http://schemas.openxmlformats.org/officeDocument/2006/relationships/worksheet" Target="/xl/worksheets/sheet4.xml" Id="Rdc8313e40d3a45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13.75" hidden="0" customWidth="1"/>
    <x:col min="4" max="4" width="11.25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1.25" hidden="0" customWidth="1"/>
    <x:col min="11" max="11" width="19.3799991607666" hidden="0" customWidth="1"/>
  </x:cols>
  <x:sheetData>
    <x:row r="1" ht="25.5" customHeight="1">
      <x:c r="A1" s="3" t="str">
        <x:v>Daily Collection Review — 2026-09-03</x:v>
      </x:c>
      <x:c r="B1" s="3" t="str">
        <x:v>Daily Collection Review — 2026-09-03</x:v>
      </x:c>
      <x:c r="C1" s="3" t="str">
        <x:v>Daily Collection Review — 2026-09-03</x:v>
      </x:c>
      <x:c r="D1" s="3" t="str">
        <x:v>Daily Collection Review — 2026-09-03</x:v>
      </x:c>
      <x:c r="E1" s="3" t="str">
        <x:v>Daily Collection Review — 2026-09-03</x:v>
      </x:c>
      <x:c r="F1" s="3" t="str">
        <x:v>Daily Collection Review — 2026-09-03</x:v>
      </x:c>
      <x:c r="G1" s="3" t="str">
        <x:v>Daily Collection Review — 2026-09-03</x:v>
      </x:c>
      <x:c r="H1" s="3" t="str">
        <x:v>Daily Collection Review — 2026-09-03</x:v>
      </x:c>
      <x:c r="I1" s="3" t="str">
        <x:v>Daily Collection Review — 2026-09-03</x:v>
      </x:c>
      <x:c r="J1" s="3" t="str">
        <x:v>Daily Collection Review — 2026-09-03</x:v>
      </x:c>
      <x:c r="K1" s="3" t="str">
        <x:v>Daily Collection Review — 2026-09-03</x:v>
      </x:c>
    </x:row>
    <x:row r="2">
      <x:c r="A2" s="6" t="str">
        <x:v>Current actionable borrowers only. Snapshot from the live OLTP Collection board; amounts are grouped into today and overdue buckets for message review.</x:v>
      </x:c>
      <x:c r="B2" s="6" t="str">
        <x:v>Current actionable borrowers only. Snapshot from the live OLTP Collection board; amounts are grouped into today and overdue buckets for message review.</x:v>
      </x:c>
      <x:c r="C2" s="6" t="str">
        <x:v>Current actionable borrowers only. Snapshot from the live OLTP Collection board; amounts are grouped into today and overdue buckets for message review.</x:v>
      </x:c>
      <x:c r="D2" s="6" t="str">
        <x:v>Current actionable borrowers only. Snapshot from the live OLTP Collection board; amounts are grouped into today and overdue buckets for message review.</x:v>
      </x:c>
      <x:c r="E2" s="6" t="str">
        <x:v>Current actionable borrowers only. Snapshot from the live OLTP Collection board; amounts are grouped into today and overdue buckets for message review.</x:v>
      </x:c>
      <x:c r="F2" s="6" t="str">
        <x:v>Current actionable borrowers only. Snapshot from the live OLTP Collection board; amounts are grouped into today and overdue buckets for message review.</x:v>
      </x:c>
      <x:c r="G2" s="6" t="str">
        <x:v>Current actionable borrowers only. Snapshot from the live OLTP Collection board; amounts are grouped into today and overdue buckets for message review.</x:v>
      </x:c>
      <x:c r="H2" s="6" t="str">
        <x:v>Current actionable borrowers only. Snapshot from the live OLTP Collection board; amounts are grouped into today and overdue buckets for message review.</x:v>
      </x:c>
      <x:c r="I2" s="6" t="str">
        <x:v>Current actionable borrowers only. Snapshot from the live OLTP Collection board; amounts are grouped into today and overdue buckets for message review.</x:v>
      </x:c>
      <x:c r="J2" s="6" t="str">
        <x:v>Current actionable borrowers only. Snapshot from the live OLTP Collection board; amounts are grouped into today and overdue buckets for message review.</x:v>
      </x:c>
      <x:c r="K2" s="6" t="str">
        <x:v>Current actionable borrowers only. Snapshot from the live OLTP Collection board; amounts are grouped into today and overdue buckets for message review.</x:v>
      </x:c>
    </x:row>
    <x:row r="3">
      <x:c r="A3" s="10" t="str">
        <x:v>Borrowers</x:v>
      </x:c>
      <x:c r="B3" s="10" t="n">
        <x:f>COUNTA(B5:B9)</x:f>
        <x:v>5</x:v>
      </x:c>
      <x:c r="C3" s="10" t="str">
        <x:v>Pending Total</x:v>
      </x:c>
      <x:c r="D3" s="11" t="n">
        <x:f>SUM(G5:G9)</x:f>
        <x:v>11320</x:v>
      </x:c>
      <x:c r="E3" s="11" t="str">
        <x:v>Today Outstanding</x:v>
      </x:c>
      <x:c r="F3" s="11" t="n">
        <x:f>SUM(H5:H9)</x:f>
        <x:v>3700</x:v>
      </x:c>
      <x:c r="G3" s="10" t="str">
        <x:v>Overdue Outstanding</x:v>
      </x:c>
      <x:c r="H3" s="11" t="n">
        <x:f>SUM(I5:I9)</x:f>
        <x:v>7620</x:v>
      </x:c>
      <x:c r="I3" s="11" t="str">
        <x:v>Reconciliation</x:v>
      </x:c>
      <x:c r="J3" s="11" t="n">
        <x:f>D3-F3-H3</x:f>
        <x:v>0</x:v>
      </x:c>
    </x:row>
    <x:row r="4" ht="27" customHeight="1">
      <x:c r="A4" s="20" t="str">
        <x:v>Snapshot Date</x:v>
      </x:c>
      <x:c r="B4" s="21" t="str">
        <x:v>Borrower</x:v>
      </x:c>
      <x:c r="C4" s="21" t="str">
        <x:v>Collection Status</x:v>
      </x:c>
      <x:c r="D4" s="21" t="str">
        <x:v>Charge Count</x:v>
      </x:c>
      <x:c r="E4" s="21" t="str">
        <x:v>Amount Due Before Payments</x:v>
      </x:c>
      <x:c r="F4" s="21" t="str">
        <x:v>Collected</x:v>
      </x:c>
      <x:c r="G4" s="21" t="str">
        <x:v>Outstanding Now</x:v>
      </x:c>
      <x:c r="H4" s="21" t="str">
        <x:v>Today Outstanding</x:v>
      </x:c>
      <x:c r="I4" s="21" t="str">
        <x:v>Overdue Outstanding</x:v>
      </x:c>
      <x:c r="J4" s="21" t="str">
        <x:v>Check</x:v>
      </x:c>
      <x:c r="K4" s="22" t="str">
        <x:v>Review Status</x:v>
      </x:c>
    </x:row>
    <x:row r="5">
      <x:c r="A5" s="25" t="n">
        <x:v>46268.166666666664</x:v>
      </x:c>
      <x:c r="B5" s="23" t="str">
        <x:v>พี่วา - Wa</x:v>
      </x:c>
      <x:c r="C5" s="23" t="str">
        <x:v>Not Paid</x:v>
      </x:c>
      <x:c r="D5" s="27" t="n">
        <x:v>1</x:v>
      </x:c>
      <x:c r="E5" s="29" t="n">
        <x:v>100</x:v>
      </x:c>
      <x:c r="F5" s="29" t="n">
        <x:v>0</x:v>
      </x:c>
      <x:c r="G5" s="29" t="n">
        <x:v>100</x:v>
      </x:c>
      <x:c r="H5" s="29" t="n">
        <x:v>100</x:v>
      </x:c>
      <x:c r="I5" s="29" t="n">
        <x:v>0</x:v>
      </x:c>
      <x:c r="J5" s="31" t="n">
        <x:f>G5-H5-I5</x:f>
        <x:v>0</x:v>
      </x:c>
      <x:c r="K5" s="32" t="str">
        <x:v>Friend review pending</x:v>
      </x:c>
    </x:row>
    <x:row r="6">
      <x:c r="A6" s="26" t="n">
        <x:v>46268.166666666664</x:v>
      </x:c>
      <x:c r="B6" s="24" t="str">
        <x:v>พี่เนย - Noey</x:v>
      </x:c>
      <x:c r="C6" s="24" t="str">
        <x:v>Not Paid</x:v>
      </x:c>
      <x:c r="D6" s="28" t="n">
        <x:v>1</x:v>
      </x:c>
      <x:c r="E6" s="30" t="n">
        <x:v>300</x:v>
      </x:c>
      <x:c r="F6" s="30" t="n">
        <x:v>0</x:v>
      </x:c>
      <x:c r="G6" s="30" t="n">
        <x:v>300</x:v>
      </x:c>
      <x:c r="H6" s="30" t="n">
        <x:v>300</x:v>
      </x:c>
      <x:c r="I6" s="30" t="n">
        <x:v>0</x:v>
      </x:c>
      <x:c r="J6" s="31" t="n">
        <x:f>G6-H6-I6</x:f>
        <x:v>0</x:v>
      </x:c>
      <x:c r="K6" s="32" t="str">
        <x:v>Friend review pending</x:v>
      </x:c>
    </x:row>
    <x:row r="7">
      <x:c r="A7" s="25" t="n">
        <x:v>46268.166666666664</x:v>
      </x:c>
      <x:c r="B7" s="23" t="str">
        <x:v>พี่ปุยฝ้าย - Puifai</x:v>
      </x:c>
      <x:c r="C7" s="23" t="str">
        <x:v>Overdue</x:v>
      </x:c>
      <x:c r="D7" s="27" t="n">
        <x:v>17</x:v>
      </x:c>
      <x:c r="E7" s="29" t="n">
        <x:v>6160</x:v>
      </x:c>
      <x:c r="F7" s="29" t="n">
        <x:v>260</x:v>
      </x:c>
      <x:c r="G7" s="29" t="n">
        <x:v>5900</x:v>
      </x:c>
      <x:c r="H7" s="29" t="n">
        <x:v>2900</x:v>
      </x:c>
      <x:c r="I7" s="29" t="n">
        <x:v>3000</x:v>
      </x:c>
      <x:c r="J7" s="31" t="n">
        <x:f>G7-H7-I7</x:f>
        <x:v>0</x:v>
      </x:c>
      <x:c r="K7" s="32" t="str">
        <x:v>Friend review pending</x:v>
      </x:c>
    </x:row>
    <x:row r="8">
      <x:c r="A8" s="26" t="n">
        <x:v>46268.166666666664</x:v>
      </x:c>
      <x:c r="B8" s="24" t="str">
        <x:v>พี่เบล - Bell</x:v>
      </x:c>
      <x:c r="C8" s="24" t="str">
        <x:v>Overdue</x:v>
      </x:c>
      <x:c r="D8" s="28" t="n">
        <x:v>7</x:v>
      </x:c>
      <x:c r="E8" s="30" t="n">
        <x:v>5100</x:v>
      </x:c>
      <x:c r="F8" s="30" t="n">
        <x:v>880</x:v>
      </x:c>
      <x:c r="G8" s="30" t="n">
        <x:v>4220</x:v>
      </x:c>
      <x:c r="H8" s="30" t="n">
        <x:v>0</x:v>
      </x:c>
      <x:c r="I8" s="30" t="n">
        <x:v>4220</x:v>
      </x:c>
      <x:c r="J8" s="31" t="n">
        <x:f>G8-H8-I8</x:f>
        <x:v>0</x:v>
      </x:c>
      <x:c r="K8" s="32" t="str">
        <x:v>Friend review pending</x:v>
      </x:c>
    </x:row>
    <x:row r="9">
      <x:c r="A9" s="25" t="n">
        <x:v>46268.166666666664</x:v>
      </x:c>
      <x:c r="B9" s="23" t="str">
        <x:v>พี่หนึ่ง - Nueng</x:v>
      </x:c>
      <x:c r="C9" s="23" t="str">
        <x:v>Overdue</x:v>
      </x:c>
      <x:c r="D9" s="27" t="n">
        <x:v>4</x:v>
      </x:c>
      <x:c r="E9" s="29" t="n">
        <x:v>800</x:v>
      </x:c>
      <x:c r="F9" s="29" t="n">
        <x:v>0</x:v>
      </x:c>
      <x:c r="G9" s="29" t="n">
        <x:v>800</x:v>
      </x:c>
      <x:c r="H9" s="29" t="n">
        <x:v>400</x:v>
      </x:c>
      <x:c r="I9" s="29" t="n">
        <x:v>400</x:v>
      </x:c>
      <x:c r="J9" s="31" t="n">
        <x:f>G9-H9-I9</x:f>
        <x:v>0</x:v>
      </x:c>
      <x:c r="K9" s="32" t="str">
        <x:v>Friend review pending</x:v>
      </x:c>
    </x:row>
  </x:sheetData>
  <x:mergeCells>
    <x:mergeCell ref="A1:K1"/>
    <x:mergeCell ref="A2:K2"/>
  </x:mergeCells>
  <x:dataValidations count="1">
    <x:dataValidation type="list" sqref="K5:K9">
      <x:formula1>"Friend review pending,Approved,Revise"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11.880000114440918" hidden="0" customWidth="1"/>
    <x:col min="4" max="4" width="18.1299991607666" hidden="0" customWidth="1"/>
    <x:col min="5" max="5" width="11.2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33.75" hidden="0" customWidth="1"/>
  </x:cols>
  <x:sheetData>
    <x:row r="1" ht="25.5" customHeight="1">
      <x:c r="A1" s="3" t="str">
        <x:v>Charge Breakdown — Borrower / Bucket Grain</x:v>
      </x:c>
      <x:c r="B1" s="3" t="str">
        <x:v>Charge Breakdown — Borrower / Bucket Grain</x:v>
      </x:c>
      <x:c r="C1" s="3" t="str">
        <x:v>Charge Breakdown — Borrower / Bucket Grain</x:v>
      </x:c>
      <x:c r="D1" s="3" t="str">
        <x:v>Charge Breakdown — Borrower / Bucket Grain</x:v>
      </x:c>
      <x:c r="E1" s="3" t="str">
        <x:v>Charge Breakdown — Borrower / Bucket Grain</x:v>
      </x:c>
      <x:c r="F1" s="3" t="str">
        <x:v>Charge Breakdown — Borrower / Bucket Grain</x:v>
      </x:c>
      <x:c r="G1" s="3" t="str">
        <x:v>Charge Breakdown — Borrower / Bucket Grain</x:v>
      </x:c>
      <x:c r="H1" s="3" t="str">
        <x:v>Charge Breakdown — Borrower / Bucket Grain</x:v>
      </x:c>
      <x:c r="I1" s="3" t="str">
        <x:v>Charge Breakdown — Borrower / Bucket Grain</x:v>
      </x:c>
      <x:c r="J1" s="3" t="str">
        <x:v>Charge Breakdown — Borrower / Bucket Grain</x:v>
      </x:c>
    </x:row>
    <x:row r="2">
      <x:c r="A2" s="6" t="str">
        <x:v>Each row reconciles Amount Due − Collected = Outstanding. 'Overdue' means a charge date before the 2026-09-03 snapshot date.</x:v>
      </x:c>
      <x:c r="B2" s="6" t="str">
        <x:v>Each row reconciles Amount Due − Collected = Outstanding. 'Overdue' means a charge date before the 2026-09-03 snapshot date.</x:v>
      </x:c>
      <x:c r="C2" s="6" t="str">
        <x:v>Each row reconciles Amount Due − Collected = Outstanding. 'Overdue' means a charge date before the 2026-09-03 snapshot date.</x:v>
      </x:c>
      <x:c r="D2" s="6" t="str">
        <x:v>Each row reconciles Amount Due − Collected = Outstanding. 'Overdue' means a charge date before the 2026-09-03 snapshot date.</x:v>
      </x:c>
      <x:c r="E2" s="6" t="str">
        <x:v>Each row reconciles Amount Due − Collected = Outstanding. 'Overdue' means a charge date before the 2026-09-03 snapshot date.</x:v>
      </x:c>
      <x:c r="F2" s="6" t="str">
        <x:v>Each row reconciles Amount Due − Collected = Outstanding. 'Overdue' means a charge date before the 2026-09-03 snapshot date.</x:v>
      </x:c>
      <x:c r="G2" s="6" t="str">
        <x:v>Each row reconciles Amount Due − Collected = Outstanding. 'Overdue' means a charge date before the 2026-09-03 snapshot date.</x:v>
      </x:c>
      <x:c r="H2" s="6" t="str">
        <x:v>Each row reconciles Amount Due − Collected = Outstanding. 'Overdue' means a charge date before the 2026-09-03 snapshot date.</x:v>
      </x:c>
      <x:c r="I2" s="6" t="str">
        <x:v>Each row reconciles Amount Due − Collected = Outstanding. 'Overdue' means a charge date before the 2026-09-03 snapshot date.</x:v>
      </x:c>
      <x:c r="J2" s="6" t="str">
        <x:v>Each row reconciles Amount Due − Collected = Outstanding. 'Overdue' means a charge date before the 2026-09-03 snapshot date.</x:v>
      </x:c>
    </x:row>
    <x:row r="4" ht="27" customHeight="1">
      <x:c r="A4" s="20" t="str">
        <x:v>Snapshot Date</x:v>
      </x:c>
      <x:c r="B4" s="21" t="str">
        <x:v>Borrower</x:v>
      </x:c>
      <x:c r="C4" s="21" t="str">
        <x:v>Bucket</x:v>
      </x:c>
      <x:c r="D4" s="21" t="str">
        <x:v>Charge Date / Scope</x:v>
      </x:c>
      <x:c r="E4" s="21" t="str">
        <x:v>Charge Count</x:v>
      </x:c>
      <x:c r="F4" s="21" t="str">
        <x:v>Amount Due</x:v>
      </x:c>
      <x:c r="G4" s="21" t="str">
        <x:v>Collected</x:v>
      </x:c>
      <x:c r="H4" s="21" t="str">
        <x:v>Outstanding</x:v>
      </x:c>
      <x:c r="I4" s="21" t="str">
        <x:v>Check</x:v>
      </x:c>
      <x:c r="J4" s="22" t="str">
        <x:v>Note</x:v>
      </x:c>
    </x:row>
    <x:row r="5">
      <x:c r="A5" s="25" t="n">
        <x:v>46268.166666666664</x:v>
      </x:c>
      <x:c r="B5" s="23" t="str">
        <x:v>พี่วา - Wa</x:v>
      </x:c>
      <x:c r="C5" s="23" t="str">
        <x:v>Today</x:v>
      </x:c>
      <x:c r="D5" s="23" t="str">
        <x:v>2026-09-03</x:v>
      </x:c>
      <x:c r="E5" s="27" t="n">
        <x:v>1</x:v>
      </x:c>
      <x:c r="F5" s="29" t="n">
        <x:v>100</x:v>
      </x:c>
      <x:c r="G5" s="29" t="n">
        <x:v>0</x:v>
      </x:c>
      <x:c r="H5" s="29" t="n">
        <x:v>100</x:v>
      </x:c>
      <x:c r="I5" s="31" t="n">
        <x:f>F5-G5-H5</x:f>
        <x:v>0</x:v>
      </x:c>
      <x:c r="J5" s="33" t="str">
        <x:v>Current-day charge</x:v>
      </x:c>
    </x:row>
    <x:row r="6">
      <x:c r="A6" s="26" t="n">
        <x:v>46268.166666666664</x:v>
      </x:c>
      <x:c r="B6" s="24" t="str">
        <x:v>พี่เนย - Noey</x:v>
      </x:c>
      <x:c r="C6" s="24" t="str">
        <x:v>Today</x:v>
      </x:c>
      <x:c r="D6" s="24" t="str">
        <x:v>2026-09-03</x:v>
      </x:c>
      <x:c r="E6" s="28" t="n">
        <x:v>1</x:v>
      </x:c>
      <x:c r="F6" s="30" t="n">
        <x:v>300</x:v>
      </x:c>
      <x:c r="G6" s="30" t="n">
        <x:v>0</x:v>
      </x:c>
      <x:c r="H6" s="30" t="n">
        <x:v>300</x:v>
      </x:c>
      <x:c r="I6" s="31" t="n">
        <x:f>F6-G6-H6</x:f>
        <x:v>0</x:v>
      </x:c>
      <x:c r="J6" s="34" t="str">
        <x:v>Current-day charge</x:v>
      </x:c>
    </x:row>
    <x:row r="7">
      <x:c r="A7" s="25" t="n">
        <x:v>46268.166666666664</x:v>
      </x:c>
      <x:c r="B7" s="23" t="str">
        <x:v>พี่ปุยฝ้าย - Puifai</x:v>
      </x:c>
      <x:c r="C7" s="23" t="str">
        <x:v>Today</x:v>
      </x:c>
      <x:c r="D7" s="23" t="str">
        <x:v>2026-09-03</x:v>
      </x:c>
      <x:c r="E7" s="27" t="n">
        <x:v>8</x:v>
      </x:c>
      <x:c r="F7" s="29" t="n">
        <x:v>2900</x:v>
      </x:c>
      <x:c r="G7" s="29" t="n">
        <x:v>0</x:v>
      </x:c>
      <x:c r="H7" s="29" t="n">
        <x:v>2900</x:v>
      </x:c>
      <x:c r="I7" s="31" t="n">
        <x:f>F7-G7-H7</x:f>
        <x:v>0</x:v>
      </x:c>
      <x:c r="J7" s="33" t="str">
        <x:v>Eight current-day charges</x:v>
      </x:c>
    </x:row>
    <x:row r="8">
      <x:c r="A8" s="26" t="n">
        <x:v>46268.166666666664</x:v>
      </x:c>
      <x:c r="B8" s="24" t="str">
        <x:v>พี่ปุยฝ้าย - Puifai</x:v>
      </x:c>
      <x:c r="C8" s="24" t="str">
        <x:v>Overdue</x:v>
      </x:c>
      <x:c r="D8" s="24" t="str">
        <x:v>Before 2026-09-03</x:v>
      </x:c>
      <x:c r="E8" s="28" t="n">
        <x:v>9</x:v>
      </x:c>
      <x:c r="F8" s="30" t="n">
        <x:v>3260</x:v>
      </x:c>
      <x:c r="G8" s="30" t="n">
        <x:v>260</x:v>
      </x:c>
      <x:c r="H8" s="30" t="n">
        <x:v>3000</x:v>
      </x:c>
      <x:c r="I8" s="31" t="n">
        <x:f>F8-G8-H8</x:f>
        <x:v>0</x:v>
      </x:c>
      <x:c r="J8" s="34" t="str">
        <x:v>Prior charges aggregated at the borrower/bucket grain</x:v>
      </x:c>
    </x:row>
    <x:row r="9">
      <x:c r="A9" s="25" t="n">
        <x:v>46268.166666666664</x:v>
      </x:c>
      <x:c r="B9" s="23" t="str">
        <x:v>พี่เบล - Bell</x:v>
      </x:c>
      <x:c r="C9" s="23" t="str">
        <x:v>Today</x:v>
      </x:c>
      <x:c r="D9" s="23" t="str">
        <x:v>2026-09-03</x:v>
      </x:c>
      <x:c r="E9" s="27" t="n">
        <x:v>1</x:v>
      </x:c>
      <x:c r="F9" s="29" t="n">
        <x:v>300</x:v>
      </x:c>
      <x:c r="G9" s="29" t="n">
        <x:v>300</x:v>
      </x:c>
      <x:c r="H9" s="29" t="n">
        <x:v>0</x:v>
      </x:c>
      <x:c r="I9" s="31" t="n">
        <x:f>F9-G9-H9</x:f>
        <x:v>0</x:v>
      </x:c>
      <x:c r="J9" s="33" t="str">
        <x:v>Today's charge is fully paid</x:v>
      </x:c>
    </x:row>
    <x:row r="10">
      <x:c r="A10" s="26" t="n">
        <x:v>46268.166666666664</x:v>
      </x:c>
      <x:c r="B10" s="24" t="str">
        <x:v>พี่เบล - Bell</x:v>
      </x:c>
      <x:c r="C10" s="24" t="str">
        <x:v>Overdue</x:v>
      </x:c>
      <x:c r="D10" s="24" t="str">
        <x:v>Before 2026-09-03</x:v>
      </x:c>
      <x:c r="E10" s="28" t="n">
        <x:v>6</x:v>
      </x:c>
      <x:c r="F10" s="30" t="n">
        <x:v>4800</x:v>
      </x:c>
      <x:c r="G10" s="30" t="n">
        <x:v>580</x:v>
      </x:c>
      <x:c r="H10" s="30" t="n">
        <x:v>4220</x:v>
      </x:c>
      <x:c r="I10" s="31" t="n">
        <x:f>F10-G10-H10</x:f>
        <x:v>0</x:v>
      </x:c>
      <x:c r="J10" s="34" t="str">
        <x:v>Prior charges aggregated at the borrower/bucket grain</x:v>
      </x:c>
    </x:row>
    <x:row r="11">
      <x:c r="A11" s="25" t="n">
        <x:v>46268.166666666664</x:v>
      </x:c>
      <x:c r="B11" s="23" t="str">
        <x:v>พี่หนึ่ง - Nueng</x:v>
      </x:c>
      <x:c r="C11" s="23" t="str">
        <x:v>Today</x:v>
      </x:c>
      <x:c r="D11" s="23" t="str">
        <x:v>2026-09-03</x:v>
      </x:c>
      <x:c r="E11" s="27" t="n">
        <x:v>2</x:v>
      </x:c>
      <x:c r="F11" s="29" t="n">
        <x:v>400</x:v>
      </x:c>
      <x:c r="G11" s="29" t="n">
        <x:v>0</x:v>
      </x:c>
      <x:c r="H11" s="29" t="n">
        <x:v>400</x:v>
      </x:c>
      <x:c r="I11" s="31" t="n">
        <x:f>F11-G11-H11</x:f>
        <x:v>0</x:v>
      </x:c>
      <x:c r="J11" s="33" t="str">
        <x:v>Two current-day charges</x:v>
      </x:c>
    </x:row>
    <x:row r="12">
      <x:c r="A12" s="26" t="n">
        <x:v>46268.166666666664</x:v>
      </x:c>
      <x:c r="B12" s="24" t="str">
        <x:v>พี่หนึ่ง - Nueng</x:v>
      </x:c>
      <x:c r="C12" s="24" t="str">
        <x:v>Overdue</x:v>
      </x:c>
      <x:c r="D12" s="24" t="str">
        <x:v>2026-09-02</x:v>
      </x:c>
      <x:c r="E12" s="28" t="n">
        <x:v>2</x:v>
      </x:c>
      <x:c r="F12" s="30" t="n">
        <x:v>400</x:v>
      </x:c>
      <x:c r="G12" s="30" t="n">
        <x:v>0</x:v>
      </x:c>
      <x:c r="H12" s="30" t="n">
        <x:v>400</x:v>
      </x:c>
      <x:c r="I12" s="31" t="n">
        <x:f>F12-G12-H12</x:f>
        <x:v>0</x:v>
      </x:c>
      <x:c r="J12" s="34" t="str">
        <x:v>Two prior-day charges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62.5" hidden="0" customWidth="1"/>
    <x:col min="6" max="6" width="20" hidden="0" customWidth="1"/>
  </x:cols>
  <x:sheetData>
    <x:row r="1" ht="25.5" customHeight="1">
      <x:c r="A1" s="3" t="str">
        <x:v>Copy-Ready Thai Collection Messages</x:v>
      </x:c>
      <x:c r="B1" s="3" t="str">
        <x:v>Copy-Ready Thai Collection Messages</x:v>
      </x:c>
      <x:c r="C1" s="3" t="str">
        <x:v>Copy-Ready Thai Collection Messages</x:v>
      </x:c>
      <x:c r="D1" s="3" t="str">
        <x:v>Copy-Ready Thai Collection Messages</x:v>
      </x:c>
      <x:c r="E1" s="3" t="str">
        <x:v>Copy-Ready Thai Collection Messages</x:v>
      </x:c>
      <x:c r="F1" s="3" t="str">
        <x:v>Copy-Ready Thai Collection Messages</x:v>
      </x:c>
    </x:row>
    <x:row r="2">
      <x:c r="A2" s="37" t="str">
        <x:v>Drafts refined from the friend's reminder style. Amounts unchanged; bank details omitted. No message has been sent.</x:v>
      </x:c>
      <x:c r="B2" s="37" t="str">
        <x:v>Drafts only — friendly young Thai woman tone. No message has been sent. Review wording and amounts before copying.</x:v>
      </x:c>
      <x:c r="C2" s="37" t="str">
        <x:v>Drafts only — friendly young Thai woman tone. No message has been sent. Review wording and amounts before copying.</x:v>
      </x:c>
      <x:c r="D2" s="37" t="str">
        <x:v>Drafts only — friendly young Thai woman tone. No message has been sent. Review wording and amounts before copying.</x:v>
      </x:c>
      <x:c r="E2" s="37" t="str">
        <x:v>Drafts only — friendly young Thai woman tone. No message has been sent. Review wording and amounts before copying.</x:v>
      </x:c>
      <x:c r="F2" s="37" t="str">
        <x:v>Drafts only — friendly young Thai woman tone. No message has been sent. Review wording and amounts before copying.</x:v>
      </x:c>
    </x:row>
    <x:row r="4" ht="27" customHeight="1">
      <x:c r="A4" s="20" t="str">
        <x:v>Borrower</x:v>
      </x:c>
      <x:c r="B4" s="21" t="str">
        <x:v>Outstanding</x:v>
      </x:c>
      <x:c r="C4" s="21" t="str">
        <x:v>Today</x:v>
      </x:c>
      <x:c r="D4" s="21" t="str">
        <x:v>Overdue</x:v>
      </x:c>
      <x:c r="E4" s="21" t="str">
        <x:v>Copy-Ready Message</x:v>
      </x:c>
      <x:c r="F4" s="22" t="str">
        <x:v>Friend Review Status</x:v>
      </x:c>
    </x:row>
    <x:row r="5" ht="70.5" customHeight="1">
      <x:c r="A5" s="38" t="str">
        <x:v>พี่วา - Wa</x:v>
      </x:c>
      <x:c r="B5" s="39" t="n">
        <x:v>100</x:v>
      </x:c>
      <x:c r="C5" s="39" t="n">
        <x:v>100</x:v>
      </x:c>
      <x:c r="D5" s="39" t="n">
        <x:v>0</x:v>
      </x:c>
      <x:c r="E5" s="40" t="str">
        <x:v>💵 พี่วาคะ ส่งยอดวันนี้ 100 บาทนะคะ 💰
⚠️ แจ้งเตือนส่งยอดวันนี้ ⚠️
รบกวนส่งภายใน 16.00 น. นะคะ จะได้ไม่เสียค่าปรับล่าช้าค่ะ ขอบคุณนะคะ 🙏</x:v>
      </x:c>
      <x:c r="F5" s="44" t="str">
        <x:v>Friend review pending</x:v>
      </x:c>
    </x:row>
    <x:row r="6" ht="70.5" customHeight="1">
      <x:c r="A6" s="41" t="str">
        <x:v>พี่เนย - Noey</x:v>
      </x:c>
      <x:c r="B6" s="42" t="n">
        <x:v>300</x:v>
      </x:c>
      <x:c r="C6" s="42" t="n">
        <x:v>300</x:v>
      </x:c>
      <x:c r="D6" s="42" t="n">
        <x:v>0</x:v>
      </x:c>
      <x:c r="E6" s="43" t="str">
        <x:v>💵 พี่เนยคะ ส่งยอดวันนี้ 300 บาทนะคะ 💰
⚠️ แจ้งเตือนส่งยอดวันนี้ ⚠️
รบกวนส่งภายใน 16.00 น. นะคะ จะได้ไม่เสียค่าปรับล่าช้าค่ะ ขอบคุณนะคะ 🙏</x:v>
      </x:c>
      <x:c r="F6" s="44" t="str">
        <x:v>Friend review pending</x:v>
      </x:c>
    </x:row>
    <x:row r="7" ht="88.5" customHeight="1">
      <x:c r="A7" s="38" t="str">
        <x:v>พี่ปุยฝ้าย - Puifai</x:v>
      </x:c>
      <x:c r="B7" s="39" t="n">
        <x:v>5900</x:v>
      </x:c>
      <x:c r="C7" s="39" t="n">
        <x:v>2900</x:v>
      </x:c>
      <x:c r="D7" s="39" t="n">
        <x:v>3000</x:v>
      </x:c>
      <x:c r="E7" s="40" t="str">
        <x:v>💵 พี่ปุยฝ้ายคะ ยอดที่ต้องส่งทั้งหมด 5,900 บาทนะคะ 💰
• ยอดวันนี้ 2,900 บาท
• ยอดค้างเดิม 3,000 บาท
⚠️ รบกวนส่งภายใน 16.00 น. นะคะ จะได้ไม่เสียค่าปรับล่าช้าค่ะ ขอบคุณนะคะ 🙏</x:v>
      </x:c>
      <x:c r="F7" s="44" t="str">
        <x:v>Friend review pending</x:v>
      </x:c>
    </x:row>
    <x:row r="8" ht="88.5" customHeight="1">
      <x:c r="A8" s="41" t="str">
        <x:v>พี่เบล - Bell</x:v>
      </x:c>
      <x:c r="B8" s="42" t="n">
        <x:v>4220</x:v>
      </x:c>
      <x:c r="C8" s="42" t="n">
        <x:v>0</x:v>
      </x:c>
      <x:c r="D8" s="42" t="n">
        <x:v>4220</x:v>
      </x:c>
      <x:c r="E8" s="43" t="str">
        <x:v>💵 พี่เบลคะ มียอดค้างเดิม 4,220 บาทนะคะ 💰
ยอดวันนี้ 300 บาทชำระแล้วค่ะ
⚠️ รบกวนส่งยอดค้างภายใน 16.00 น. นะคะ จะได้ไม่เสียค่าปรับล่าช้าค่ะ ขอบคุณนะคะ 🙏</x:v>
      </x:c>
      <x:c r="F8" s="44" t="str">
        <x:v>Friend review pending</x:v>
      </x:c>
    </x:row>
    <x:row r="9" ht="88.5" customHeight="1">
      <x:c r="A9" s="38" t="str">
        <x:v>พี่หนึ่ง - Nueng</x:v>
      </x:c>
      <x:c r="B9" s="39" t="n">
        <x:v>800</x:v>
      </x:c>
      <x:c r="C9" s="39" t="n">
        <x:v>400</x:v>
      </x:c>
      <x:c r="D9" s="39" t="n">
        <x:v>400</x:v>
      </x:c>
      <x:c r="E9" s="40" t="str">
        <x:v>💵 พี่หนึ่งคะ ยอดที่ต้องส่งทั้งหมด 800 บาทนะคะ 💰
• ยอดวันนี้ 400 บาท
• ยอดค้างเดิม 400 บาท
⚠️ รบกวนส่งภายใน 16.00 น. นะคะ จะได้ไม่เสียค่าปรับล่าช้าค่ะ ขอบคุณนะคะ 🙏</x:v>
      </x:c>
      <x:c r="F9" s="44" t="str">
        <x:v>Friend review pending</x:v>
      </x:c>
    </x:row>
  </x:sheetData>
  <x:mergeCells>
    <x:mergeCell ref="A1:F1"/>
    <x:mergeCell ref="A2:F2"/>
  </x:mergeCells>
  <x:dataValidations count="1">
    <x:dataValidation type="list" sqref="F5:F9">
      <x:formula1>"Friend review pending,Approved,Revise"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0" hidden="0" customWidth="1"/>
  </x:cols>
  <x:sheetData>
    <x:row r="1" ht="25.5" customHeight="1">
      <x:c r="A1" s="3" t="str">
        <x:v>Snapshot Metadata and Governance</x:v>
      </x:c>
      <x:c r="B1" s="3" t="str">
        <x:v>Snapshot Metadata and Governance</x:v>
      </x:c>
    </x:row>
    <x:row r="4" ht="27" customHeight="1">
      <x:c r="A4" s="20" t="str">
        <x:v>Field</x:v>
      </x:c>
      <x:c r="B4" s="22" t="str">
        <x:v>Value</x:v>
      </x:c>
    </x:row>
    <x:row r="5" ht="25.5" customHeight="1">
      <x:c r="A5" s="23" t="str">
        <x:v>Snapshot date</x:v>
      </x:c>
      <x:c r="B5" s="33" t="str">
        <x:v>2026-09-03 (Asia/Singapore)</x:v>
      </x:c>
    </x:row>
    <x:row r="6" ht="25.5" customHeight="1">
      <x:c r="A6" s="24" t="str">
        <x:v>Source app</x:v>
      </x:c>
      <x:c r="B6" s="34" t="str">
        <x:v>Loan Manager ผู้จัดการสินเชื่อ (OLTP) v2.200115</x:v>
      </x:c>
    </x:row>
    <x:row r="7" ht="25.5" customHeight="1">
      <x:c r="A7" s="23" t="str">
        <x:v>Reporting app</x:v>
      </x:c>
      <x:c r="B7" s="33" t="str">
        <x:v>Loan Business Insights (OLAP) v1.000192</x:v>
      </x:c>
    </x:row>
    <x:row r="8" ht="25.5" customHeight="1">
      <x:c r="A8" s="24" t="str">
        <x:v>OLAP rollback</x:v>
      </x:c>
      <x:c r="B8" s="34" t="str">
        <x:v>v1.000191</x:v>
      </x:c>
    </x:row>
    <x:row r="9" ht="25.5" customHeight="1">
      <x:c r="A9" s="23" t="str">
        <x:v>Slice</x:v>
      </x:c>
      <x:c r="B9" s="33" t="str">
        <x:v>Todays Collection Board</x:v>
      </x:c>
    </x:row>
    <x:row r="10" ht="25.5" customHeight="1">
      <x:c r="A10" s="24" t="str">
        <x:v>Slice filter</x:v>
      </x:c>
      <x:c r="B10" s="34" t="str">
        <x:v>ISNOTBLANK([Daily Collection Status])</x:v>
      </x:c>
    </x:row>
    <x:row r="11" ht="40.5" customHeight="1">
      <x:c r="A11" s="23" t="str">
        <x:v>Snapshot population</x:v>
      </x:c>
      <x:c r="B11" s="33" t="str">
        <x:v>20 board rows: 2 Not Paid, 3 Overdue, 15 Fully Paid; export contains the 5 actionable borrowers with Outstanding Now &gt; 0</x:v>
      </x:c>
    </x:row>
    <x:row r="12" ht="25.5" customHeight="1">
      <x:c r="A12" s="24" t="str">
        <x:v>Governed total</x:v>
      </x:c>
      <x:c r="B12" s="34" t="str">
        <x:v>฿11,320 outstanding = ฿3,700 today + ฿7,620 overdue</x:v>
      </x:c>
    </x:row>
    <x:row r="13" ht="25.5" customHeight="1">
      <x:c r="A13" s="23" t="str">
        <x:v>Message status</x:v>
      </x:c>
      <x:c r="B13" s="33" t="str">
        <x:v>Drafts only; friend review and user manual testing pending; no sending or automation</x:v>
      </x:c>
    </x:row>
  </x:sheetData>
  <x:mergeCells>
    <x:mergeCell ref="A1:B1"/>
  </x:mergeCells>
  <x:pageMargins left="0.7" right="0.7" top="0.75" bottom="0.75" header="0.3" footer="0.3"/>
</x:worksheet>
</file>