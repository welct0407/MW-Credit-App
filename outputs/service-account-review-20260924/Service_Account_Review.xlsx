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accounts" sheetId="1" r:id="rId1"/>
  </sheets>
  <definedNames>
    <definedName name="_xlnm._FilterDatabase" localSheetId="0" hidden="1">'Service accounts'!$A$7:$E$29</definedName>
    <definedName name="_xlnm.Print_Area" localSheetId="0">'Service accounts'!$A$1:$E$29</definedName>
  </definedNames>
  <calcPr calcId="124519" fullCalcOnLoad="1"/>
</workbook>
</file>

<file path=xl/sharedStrings.xml><?xml version="1.0" encoding="utf-8"?>
<sst xmlns="http://schemas.openxmlformats.org/spreadsheetml/2006/main" count="43" uniqueCount="40">
  <si>
    <t>Service accounts</t>
  </si>
  <si>
    <t>Fill yellow Account cells with the actual login. Add notes or split rows for different roles. Browser is calculated.</t>
  </si>
  <si>
    <t>Chrome work = welct0407@mw-credit.com   |   Chrome Gmail = welct0407@gmail.com   |   Other accounts = Edge</t>
  </si>
  <si>
    <t>Services: Environment Inventory, Solution Design, Resource Monitoring and Git remote. Account assignments await your input.</t>
  </si>
  <si>
    <t>Service</t>
  </si>
  <si>
    <t>Scope / environment</t>
  </si>
  <si>
    <t>Account (fill in)</t>
  </si>
  <si>
    <t>Browser (calculated)</t>
  </si>
  <si>
    <t>Notes (optional)</t>
  </si>
  <si>
    <t>AppSheet</t>
  </si>
  <si>
    <t>PROD OLTP / Loan Manager</t>
  </si>
  <si>
    <t>PROD OLAP / Loan Business Insights</t>
  </si>
  <si>
    <t>DEV OLTP</t>
  </si>
  <si>
    <t>DEV OLAP</t>
  </si>
  <si>
    <t>Google Cloud Console</t>
  </si>
  <si>
    <t>Cloud SQL, project access and billing</t>
  </si>
  <si>
    <t>Google Drive / Docs / Sheets</t>
  </si>
  <si>
    <t>Project files and templates</t>
  </si>
  <si>
    <t>Metabase</t>
  </si>
  <si>
    <t>Loan reports / reports.mw-credit.com</t>
  </si>
  <si>
    <t>Railway</t>
  </si>
  <si>
    <t>Metabase hosting and billing</t>
  </si>
  <si>
    <t>Cloudflare</t>
  </si>
  <si>
    <t>DNS, domains and tunnels</t>
  </si>
  <si>
    <t>Grafana Cloud</t>
  </si>
  <si>
    <t>Resource dashboards / monitor.mw-credit.com</t>
  </si>
  <si>
    <t>GitHub</t>
  </si>
  <si>
    <t>AppSheet-Loan-Project repository</t>
  </si>
  <si>
    <t>Microsoft Azure</t>
  </si>
  <si>
    <t>VM administration and billing</t>
  </si>
  <si>
    <t>Tailscale</t>
  </si>
  <si>
    <t>Private network administration</t>
  </si>
  <si>
    <t>Outlook</t>
  </si>
  <si>
    <t>Existing fallback email service</t>
  </si>
  <si>
    <t>Google Sites</t>
  </si>
  <si>
    <t>Existing privacy/public site</t>
  </si>
  <si>
    <t>Looker Studio</t>
  </si>
  <si>
    <t>Existing / legacy reports</t>
  </si>
  <si>
    <t>ChatGPT / Codex web</t>
  </si>
  <si>
    <t>Account and subscription UI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</si>
</sst>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1F2937"/>
      <name val="Arial"/>
      <family val="2"/>
    </font>
    <font>
      <b/>
      <sz val="16"/>
      <color rgb="FF17324D"/>
      <name val="Arial"/>
      <family val="2"/>
    </font>
    <font>
      <sz val="10"/>
      <color rgb="FF475569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9E8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9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31.140625" style="1" customWidth="1"/>
    <col min="2" max="2" width="41.7109375" style="1" customWidth="1"/>
    <col min="3" max="3" width="39.7109375" style="1" customWidth="1"/>
    <col min="4" max="4" width="30" style="1" customWidth="1"/>
    <col min="5" max="5" width="34.5703125" style="1" customWidth="1"/>
  </cols>
  <sheetData>
    <row r="1" spans="1:5" ht="6" customHeight="1"/>
    <row r="2" spans="1:5" ht="24" customHeight="1">
      <c r="A2" s="2" t="s">
        <v>0</v>
      </c>
    </row>
    <row r="3" spans="1:5" ht="17.25" customHeight="1">
      <c r="A3" s="3" t="s">
        <v>1</v>
      </c>
    </row>
    <row r="4" spans="1:5" ht="17.25" customHeight="1">
      <c r="A4" s="3" t="s">
        <v>2</v>
      </c>
    </row>
    <row r="5" spans="1:5" ht="17.25" customHeight="1">
      <c r="A5" s="3" t="s">
        <v>3</v>
      </c>
    </row>
    <row r="6" spans="1:5" ht="6.75" customHeight="1"/>
    <row r="7" spans="1:5" ht="24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</row>
    <row r="8" spans="1:5" ht="27" customHeight="1">
      <c r="A8" s="1" t="s">
        <v>9</v>
      </c>
      <c r="B8" s="1" t="s">
        <v>10</v>
      </c>
      <c r="C8" s="5"/>
      <c r="D8" s="6" t="str">
        <f>IF(TRIM(C8)="","Pending",IF(LOWER(TRIM(C8))="welct0407@mw-credit.com","Chrome work",IF(LOWER(TRIM(C8))="welct0407@gmail.com","Chrome Gmail","Edge")))</f>
        <v>Pending</v>
      </c>
      <c r="E8" s="7"/>
    </row>
    <row r="9" spans="1:5" ht="27" customHeight="1">
      <c r="A9" s="1" t="s">
        <v>9</v>
      </c>
      <c r="B9" s="1" t="s">
        <v>11</v>
      </c>
      <c r="C9" s="5"/>
      <c r="D9" s="6" t="str">
        <f>IF(TRIM(C9)="","Pending",IF(LOWER(TRIM(C9))="welct0407@mw-credit.com","Chrome work",IF(LOWER(TRIM(C9))="welct0407@gmail.com","Chrome Gmail","Edge")))</f>
        <v>Pending</v>
      </c>
      <c r="E9" s="7"/>
    </row>
    <row r="10" spans="1:5" ht="27" customHeight="1">
      <c r="A10" s="1" t="s">
        <v>9</v>
      </c>
      <c r="B10" s="1" t="s">
        <v>12</v>
      </c>
      <c r="C10" s="5"/>
      <c r="D10" s="6" t="str">
        <f>IF(TRIM(C10)="","Pending",IF(LOWER(TRIM(C10))="welct0407@mw-credit.com","Chrome work",IF(LOWER(TRIM(C10))="welct0407@gmail.com","Chrome Gmail","Edge")))</f>
        <v>Pending</v>
      </c>
      <c r="E10" s="7"/>
    </row>
    <row r="11" spans="1:5" ht="27" customHeight="1">
      <c r="A11" s="1" t="s">
        <v>9</v>
      </c>
      <c r="B11" s="1" t="s">
        <v>13</v>
      </c>
      <c r="C11" s="5"/>
      <c r="D11" s="6" t="str">
        <f>IF(TRIM(C11)="","Pending",IF(LOWER(TRIM(C11))="welct0407@mw-credit.com","Chrome work",IF(LOWER(TRIM(C11))="welct0407@gmail.com","Chrome Gmail","Edge")))</f>
        <v>Pending</v>
      </c>
      <c r="E11" s="7"/>
    </row>
    <row r="12" spans="1:5" ht="27" customHeight="1">
      <c r="A12" s="1" t="s">
        <v>14</v>
      </c>
      <c r="B12" s="1" t="s">
        <v>15</v>
      </c>
      <c r="C12" s="5"/>
      <c r="D12" s="6" t="str">
        <f>IF(TRIM(C12)="","Pending",IF(LOWER(TRIM(C12))="welct0407@mw-credit.com","Chrome work",IF(LOWER(TRIM(C12))="welct0407@gmail.com","Chrome Gmail","Edge")))</f>
        <v>Pending</v>
      </c>
      <c r="E12" s="7"/>
    </row>
    <row r="13" spans="1:5" ht="27" customHeight="1">
      <c r="A13" s="1" t="s">
        <v>16</v>
      </c>
      <c r="B13" s="1" t="s">
        <v>17</v>
      </c>
      <c r="C13" s="5"/>
      <c r="D13" s="6" t="str">
        <f>IF(TRIM(C13)="","Pending",IF(LOWER(TRIM(C13))="welct0407@mw-credit.com","Chrome work",IF(LOWER(TRIM(C13))="welct0407@gmail.com","Chrome Gmail","Edge")))</f>
        <v>Pending</v>
      </c>
      <c r="E13" s="7"/>
    </row>
    <row r="14" spans="1:5" ht="27" customHeight="1">
      <c r="A14" s="1" t="s">
        <v>18</v>
      </c>
      <c r="B14" s="1" t="s">
        <v>19</v>
      </c>
      <c r="C14" s="5"/>
      <c r="D14" s="6" t="str">
        <f>IF(TRIM(C14)="","Pending",IF(LOWER(TRIM(C14))="welct0407@mw-credit.com","Chrome work",IF(LOWER(TRIM(C14))="welct0407@gmail.com","Chrome Gmail","Edge")))</f>
        <v>Pending</v>
      </c>
      <c r="E14" s="7"/>
    </row>
    <row r="15" spans="1:5" ht="27" customHeight="1">
      <c r="A15" s="1" t="s">
        <v>20</v>
      </c>
      <c r="B15" s="1" t="s">
        <v>21</v>
      </c>
      <c r="C15" s="5"/>
      <c r="D15" s="6" t="str">
        <f>IF(TRIM(C15)="","Pending",IF(LOWER(TRIM(C15))="welct0407@mw-credit.com","Chrome work",IF(LOWER(TRIM(C15))="welct0407@gmail.com","Chrome Gmail","Edge")))</f>
        <v>Pending</v>
      </c>
      <c r="E15" s="7"/>
    </row>
    <row r="16" spans="1:5" ht="27" customHeight="1">
      <c r="A16" s="1" t="s">
        <v>22</v>
      </c>
      <c r="B16" s="1" t="s">
        <v>23</v>
      </c>
      <c r="C16" s="5"/>
      <c r="D16" s="6" t="str">
        <f>IF(TRIM(C16)="","Pending",IF(LOWER(TRIM(C16))="welct0407@mw-credit.com","Chrome work",IF(LOWER(TRIM(C16))="welct0407@gmail.com","Chrome Gmail","Edge")))</f>
        <v>Pending</v>
      </c>
      <c r="E16" s="7"/>
    </row>
    <row r="17" spans="1:5" ht="27" customHeight="1">
      <c r="A17" s="1" t="s">
        <v>24</v>
      </c>
      <c r="B17" s="1" t="s">
        <v>25</v>
      </c>
      <c r="C17" s="5"/>
      <c r="D17" s="6" t="str">
        <f>IF(TRIM(C17)="","Pending",IF(LOWER(TRIM(C17))="welct0407@mw-credit.com","Chrome work",IF(LOWER(TRIM(C17))="welct0407@gmail.com","Chrome Gmail","Edge")))</f>
        <v>Pending</v>
      </c>
      <c r="E17" s="7"/>
    </row>
    <row r="18" spans="1:5" ht="27" customHeight="1">
      <c r="A18" s="1" t="s">
        <v>26</v>
      </c>
      <c r="B18" s="1" t="s">
        <v>27</v>
      </c>
      <c r="C18" s="5"/>
      <c r="D18" s="6" t="str">
        <f>IF(TRIM(C18)="","Pending",IF(LOWER(TRIM(C18))="welct0407@mw-credit.com","Chrome work",IF(LOWER(TRIM(C18))="welct0407@gmail.com","Chrome Gmail","Edge")))</f>
        <v>Pending</v>
      </c>
      <c r="E18" s="7"/>
    </row>
    <row r="19" spans="1:5" ht="27" customHeight="1">
      <c r="A19" s="1" t="s">
        <v>28</v>
      </c>
      <c r="B19" s="1" t="s">
        <v>29</v>
      </c>
      <c r="C19" s="5"/>
      <c r="D19" s="6" t="str">
        <f>IF(TRIM(C19)="","Pending",IF(LOWER(TRIM(C19))="welct0407@mw-credit.com","Chrome work",IF(LOWER(TRIM(C19))="welct0407@gmail.com","Chrome Gmail","Edge")))</f>
        <v>Pending</v>
      </c>
      <c r="E19" s="7"/>
    </row>
    <row r="20" spans="1:5" ht="27" customHeight="1">
      <c r="A20" s="1" t="s">
        <v>30</v>
      </c>
      <c r="B20" s="1" t="s">
        <v>31</v>
      </c>
      <c r="C20" s="5"/>
      <c r="D20" s="6" t="str">
        <f>IF(TRIM(C20)="","Pending",IF(LOWER(TRIM(C20))="welct0407@mw-credit.com","Chrome work",IF(LOWER(TRIM(C20))="welct0407@gmail.com","Chrome Gmail","Edge")))</f>
        <v>Pending</v>
      </c>
      <c r="E20" s="7"/>
    </row>
    <row r="21" spans="1:5" ht="27" customHeight="1">
      <c r="A21" s="1" t="s">
        <v>32</v>
      </c>
      <c r="B21" s="1" t="s">
        <v>33</v>
      </c>
      <c r="C21" s="5"/>
      <c r="D21" s="6" t="str">
        <f>IF(TRIM(C21)="","Pending",IF(LOWER(TRIM(C21))="welct0407@mw-credit.com","Chrome work",IF(LOWER(TRIM(C21))="welct0407@gmail.com","Chrome Gmail","Edge")))</f>
        <v>Pending</v>
      </c>
      <c r="E21" s="7"/>
    </row>
    <row r="22" spans="1:5" ht="27" customHeight="1">
      <c r="A22" s="1" t="s">
        <v>34</v>
      </c>
      <c r="B22" s="1" t="s">
        <v>35</v>
      </c>
      <c r="C22" s="5"/>
      <c r="D22" s="6" t="str">
        <f>IF(TRIM(C22)="","Pending",IF(LOWER(TRIM(C22))="welct0407@mw-credit.com","Chrome work",IF(LOWER(TRIM(C22))="welct0407@gmail.com","Chrome Gmail","Edge")))</f>
        <v>Pending</v>
      </c>
      <c r="E22" s="7"/>
    </row>
    <row r="23" spans="1:5" ht="27" customHeight="1">
      <c r="A23" s="1" t="s">
        <v>36</v>
      </c>
      <c r="B23" s="1" t="s">
        <v>37</v>
      </c>
      <c r="C23" s="5"/>
      <c r="D23" s="6" t="str">
        <f>IF(TRIM(C23)="","Pending",IF(LOWER(TRIM(C23))="welct0407@mw-credit.com","Chrome work",IF(LOWER(TRIM(C23))="welct0407@gmail.com","Chrome Gmail","Edge")))</f>
        <v>Pending</v>
      </c>
      <c r="E23" s="7"/>
    </row>
    <row r="24" spans="1:5" ht="27" customHeight="1">
      <c r="A24" s="1" t="s">
        <v>38</v>
      </c>
      <c r="B24" s="1" t="s">
        <v>39</v>
      </c>
      <c r="C24" s="5"/>
      <c r="D24" s="6" t="str">
        <f>IF(TRIM(C24)="","Pending",IF(LOWER(TRIM(C24))="welct0407@mw-credit.com","Chrome work",IF(LOWER(TRIM(C24))="welct0407@gmail.com","Chrome Gmail","Edge")))</f>
        <v>Pending</v>
      </c>
      <c r="E24" s="7"/>
    </row>
    <row r="25" spans="1:5" ht="27" customHeight="1">
      <c r="A25" s="1"/>
      <c r="B25" s="1"/>
      <c r="C25" s="5"/>
      <c r="D25" s="6" t="str">
        <f>IF(TRIM(C25)="","Pending",IF(LOWER(TRIM(C25))="welct0407@mw-credit.com","Chrome work",IF(LOWER(TRIM(C25))="welct0407@gmail.com","Chrome Gmail","Edge")))</f>
        <v>Pending</v>
      </c>
      <c r="E25" s="7"/>
    </row>
    <row r="26" spans="1:5" ht="27" customHeight="1">
      <c r="A26" s="1"/>
      <c r="B26" s="1"/>
      <c r="C26" s="5"/>
      <c r="D26" s="6" t="str">
        <f>IF(TRIM(C26)="","Pending",IF(LOWER(TRIM(C26))="welct0407@mw-credit.com","Chrome work",IF(LOWER(TRIM(C26))="welct0407@gmail.com","Chrome Gmail","Edge")))</f>
        <v>Pending</v>
      </c>
      <c r="E26" s="7"/>
    </row>
    <row r="27" spans="1:5" ht="27" customHeight="1">
      <c r="A27" s="1"/>
      <c r="B27" s="1"/>
      <c r="C27" s="5"/>
      <c r="D27" s="6" t="str">
        <f>IF(TRIM(C27)="","Pending",IF(LOWER(TRIM(C27))="welct0407@mw-credit.com","Chrome work",IF(LOWER(TRIM(C27))="welct0407@gmail.com","Chrome Gmail","Edge")))</f>
        <v>Pending</v>
      </c>
      <c r="E27" s="7"/>
    </row>
    <row r="28" spans="1:5" ht="27" customHeight="1">
      <c r="A28" s="1"/>
      <c r="B28" s="1"/>
      <c r="C28" s="5"/>
      <c r="D28" s="6" t="str">
        <f>IF(TRIM(C28)="","Pending",IF(LOWER(TRIM(C28))="welct0407@mw-credit.com","Chrome work",IF(LOWER(TRIM(C28))="welct0407@gmail.com","Chrome Gmail","Edge")))</f>
        <v>Pending</v>
      </c>
      <c r="E28" s="7"/>
    </row>
    <row r="29" spans="1:5" ht="27" customHeight="1">
      <c r="A29" s="1"/>
      <c r="B29" s="1"/>
      <c r="C29" s="5"/>
      <c r="D29" s="6" t="str">
        <f>IF(TRIM(C29)="","Pending",IF(LOWER(TRIM(C29))="welct0407@mw-credit.com","Chrome work",IF(LOWER(TRIM(C29))="welct0407@gmail.com","Chrome Gmail","Edge")))</f>
        <v>Pending</v>
      </c>
      <c r="E29" s="7"/>
    </row>
  </sheetData>
  <autoFilter ref="A7:E29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accounts</vt:lpstr>
      <vt:lpstr>'Service accounts'!Print_Area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2026-09-24T15:11:51Z</dcterms:created>
  <dcterms:modified xsi:type="dcterms:W3CDTF">2026-09-24T15:11:51Z</dcterms:modified>
</cp:coreProperties>
</file>